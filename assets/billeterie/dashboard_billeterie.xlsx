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ilotage-billeterie-marseille\deliverables\"/>
    </mc:Choice>
  </mc:AlternateContent>
  <xr:revisionPtr revIDLastSave="0" documentId="13_ncr:1_{EFCE443E-E175-4B51-BE9F-6F5175D4DFAF}" xr6:coauthVersionLast="47" xr6:coauthVersionMax="47" xr10:uidLastSave="{00000000-0000-0000-0000-000000000000}"/>
  <bookViews>
    <workbookView xWindow="-120" yWindow="-120" windowWidth="38640" windowHeight="21840" firstSheet="4" activeTab="7" xr2:uid="{5D899FDC-9EFC-4C54-B381-722E45EAD995}"/>
  </bookViews>
  <sheets>
    <sheet name="Calc-dash_ops" sheetId="10" r:id="rId1"/>
    <sheet name="DATA_kpi_daily" sheetId="4" r:id="rId2"/>
    <sheet name="KPI_event" sheetId="8" r:id="rId3"/>
    <sheet name="DATA_kpi_event" sheetId="5" r:id="rId4"/>
    <sheet name="DATA_dim_events" sheetId="6" r:id="rId5"/>
    <sheet name="DATA_event_geo" sheetId="11" r:id="rId6"/>
    <sheet name="DASH_direction" sheetId="7" r:id="rId7"/>
    <sheet name="DASH_direction_tableaux" sheetId="12" r:id="rId8"/>
    <sheet name="DASH_ops" sheetId="9" r:id="rId9"/>
  </sheets>
  <definedNames>
    <definedName name="DonnéesExternes_1" localSheetId="4" hidden="1">DATA_dim_events!$A$1:$H$25</definedName>
    <definedName name="DonnéesExternes_1" localSheetId="1" hidden="1">DATA_kpi_daily!$A$1:$F$165</definedName>
    <definedName name="DonnéesExternes_1" localSheetId="3" hidden="1">DATA_kpi_event!$A$1:$L$25</definedName>
  </definedNames>
  <calcPr calcId="191029"/>
  <pivotCaches>
    <pivotCache cacheId="1" r:id="rId10"/>
    <pivotCache cacheId="7" r:id="rId11"/>
    <pivotCache cacheId="1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2" l="1"/>
  <c r="E3" i="12"/>
  <c r="D3" i="12"/>
  <c r="C3" i="12"/>
  <c r="C25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B3" i="7"/>
  <c r="B2" i="7"/>
  <c r="P27" i="9"/>
  <c r="Q27" i="9"/>
  <c r="R27" i="9"/>
  <c r="R14" i="9"/>
  <c r="R18" i="9"/>
  <c r="R19" i="9"/>
  <c r="R30" i="9"/>
  <c r="R15" i="9"/>
  <c r="R21" i="9"/>
  <c r="R20" i="9"/>
  <c r="R24" i="9"/>
  <c r="R17" i="9"/>
  <c r="R16" i="9"/>
  <c r="R34" i="9"/>
  <c r="R38" i="9"/>
  <c r="R31" i="9"/>
  <c r="R26" i="9"/>
  <c r="R33" i="9"/>
  <c r="R36" i="9"/>
  <c r="R23" i="9"/>
  <c r="R29" i="9"/>
  <c r="R28" i="9"/>
  <c r="R22" i="9"/>
  <c r="R35" i="9"/>
  <c r="R32" i="9"/>
  <c r="R25" i="9"/>
  <c r="R37" i="9"/>
  <c r="Q17" i="9"/>
  <c r="Q15" i="9"/>
  <c r="Q34" i="9"/>
  <c r="Q38" i="9"/>
  <c r="Q18" i="9"/>
  <c r="Q28" i="9"/>
  <c r="Q16" i="9"/>
  <c r="Q37" i="9"/>
  <c r="Q24" i="9"/>
  <c r="Q31" i="9"/>
  <c r="Q29" i="9"/>
  <c r="Q25" i="9"/>
  <c r="Q20" i="9"/>
  <c r="Q33" i="9"/>
  <c r="Q22" i="9"/>
  <c r="Q30" i="9"/>
  <c r="Q23" i="9"/>
  <c r="Q14" i="9"/>
  <c r="Q35" i="9"/>
  <c r="Q19" i="9"/>
  <c r="Q32" i="9"/>
  <c r="Q26" i="9"/>
  <c r="Q36" i="9"/>
  <c r="Q21" i="9"/>
  <c r="P17" i="9"/>
  <c r="P15" i="9"/>
  <c r="P34" i="9"/>
  <c r="P38" i="9"/>
  <c r="P18" i="9"/>
  <c r="P28" i="9"/>
  <c r="P16" i="9"/>
  <c r="P37" i="9"/>
  <c r="P24" i="9"/>
  <c r="P31" i="9"/>
  <c r="P29" i="9"/>
  <c r="P25" i="9"/>
  <c r="P20" i="9"/>
  <c r="P33" i="9"/>
  <c r="P22" i="9"/>
  <c r="P30" i="9"/>
  <c r="P23" i="9"/>
  <c r="P14" i="9"/>
  <c r="P35" i="9"/>
  <c r="P19" i="9"/>
  <c r="P32" i="9"/>
  <c r="P26" i="9"/>
  <c r="P36" i="9"/>
  <c r="P21" i="9"/>
  <c r="C50" i="9"/>
  <c r="C47" i="9"/>
  <c r="B4" i="9"/>
  <c r="B8" i="9" s="1"/>
  <c r="B4" i="7"/>
  <c r="B5" i="7"/>
  <c r="M44" i="9" l="1"/>
  <c r="B5" i="9"/>
  <c r="B9" i="9"/>
  <c r="B10" i="9" s="1"/>
  <c r="C10" i="9" s="1"/>
  <c r="B6" i="9"/>
  <c r="E8" i="9"/>
  <c r="E9" i="9"/>
  <c r="D1" i="9"/>
  <c r="M45" i="9" l="1"/>
  <c r="N44" i="9"/>
  <c r="E5" i="9"/>
  <c r="B7" i="9"/>
  <c r="C7" i="9" s="1"/>
  <c r="E10" i="9"/>
  <c r="F10" i="9" s="1"/>
  <c r="E6" i="9"/>
  <c r="M46" i="9" l="1"/>
  <c r="N45" i="9"/>
  <c r="E7" i="9"/>
  <c r="F7" i="9" s="1"/>
  <c r="M47" i="9" l="1"/>
  <c r="N46" i="9"/>
  <c r="M48" i="9" l="1"/>
  <c r="N47" i="9"/>
  <c r="M49" i="9" l="1"/>
  <c r="N48" i="9"/>
  <c r="M50" i="9" l="1"/>
  <c r="N49" i="9"/>
  <c r="M51" i="9" l="1"/>
  <c r="N50" i="9"/>
  <c r="M52" i="9" l="1"/>
  <c r="N51" i="9"/>
  <c r="M53" i="9" l="1"/>
  <c r="N52" i="9"/>
  <c r="M54" i="9" l="1"/>
  <c r="N53" i="9"/>
  <c r="M55" i="9" l="1"/>
  <c r="N54" i="9"/>
  <c r="M56" i="9" l="1"/>
  <c r="N55" i="9"/>
  <c r="M57" i="9" l="1"/>
  <c r="N57" i="9" s="1"/>
  <c r="N5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C3D83-4FEB-494E-9C48-EFD0C6C6ABCB}" keepAlive="1" name="Requête - dim_events_excel" description="Connexion à la requête « dim_events_excel » dans le classeur." type="5" refreshedVersion="8" background="1" saveData="1">
    <dbPr connection="Provider=Microsoft.Mashup.OleDb.1;Data Source=$Workbook$;Location=dim_events_excel;Extended Properties=&quot;&quot;" command="SELECT * FROM [dim_events_excel]"/>
  </connection>
  <connection id="2" xr16:uid="{2A4B08A9-E8D4-4C2E-9120-0A02E50105AF}" keepAlive="1" name="Requête - kpi_daily_excel" description="Connexion à la requête « kpi_daily_excel » dans le classeur." type="5" refreshedVersion="8" background="1" saveData="1">
    <dbPr connection="Provider=Microsoft.Mashup.OleDb.1;Data Source=$Workbook$;Location=kpi_daily_excel;Extended Properties=&quot;&quot;" command="SELECT * FROM [kpi_daily_excel]"/>
  </connection>
  <connection id="3" xr16:uid="{E003E8A3-B0EE-4DA9-AF33-4BFB3BB10076}" keepAlive="1" name="Requête - kpi_event_excel" description="Connexion à la requête « kpi_event_excel » dans le classeur." type="5" refreshedVersion="8" background="1" saveData="1">
    <dbPr connection="Provider=Microsoft.Mashup.OleDb.1;Data Source=$Workbook$;Location=kpi_event_excel;Extended Properties=&quot;&quot;" command="SELECT * FROM [kpi_event_excel]"/>
  </connection>
</connections>
</file>

<file path=xl/sharedStrings.xml><?xml version="1.0" encoding="utf-8"?>
<sst xmlns="http://schemas.openxmlformats.org/spreadsheetml/2006/main" count="481" uniqueCount="168">
  <si>
    <t>purchase_day</t>
  </si>
  <si>
    <t>tickets_sold</t>
  </si>
  <si>
    <t>revenue</t>
  </si>
  <si>
    <t>avg_basket</t>
  </si>
  <si>
    <t>avg_lead_time</t>
  </si>
  <si>
    <t>tx_count</t>
  </si>
  <si>
    <t>event_id</t>
  </si>
  <si>
    <t>first_purchase</t>
  </si>
  <si>
    <t>last_purchase</t>
  </si>
  <si>
    <t>no_show_rate</t>
  </si>
  <si>
    <t>event_name</t>
  </si>
  <si>
    <t>venue_name</t>
  </si>
  <si>
    <t>event_datetime</t>
  </si>
  <si>
    <t>capacity</t>
  </si>
  <si>
    <t>fill_rate</t>
  </si>
  <si>
    <t>E001</t>
  </si>
  <si>
    <t>Conférence — Session 1</t>
  </si>
  <si>
    <t>Théâtre du Panier</t>
  </si>
  <si>
    <t>E002</t>
  </si>
  <si>
    <t>Théâtre — Session 2</t>
  </si>
  <si>
    <t>La Friche (scène)</t>
  </si>
  <si>
    <t>E003</t>
  </si>
  <si>
    <t>Projection — Session 3</t>
  </si>
  <si>
    <t>Théâtre Canebière</t>
  </si>
  <si>
    <t>E004</t>
  </si>
  <si>
    <t>Théâtre — Session 4</t>
  </si>
  <si>
    <t>Le Dôme (club)</t>
  </si>
  <si>
    <t>E005</t>
  </si>
  <si>
    <t>Projection — Session 5</t>
  </si>
  <si>
    <t>E006</t>
  </si>
  <si>
    <t>Festival — Session 6</t>
  </si>
  <si>
    <t>Dock des Suds (fiction)</t>
  </si>
  <si>
    <t>E007</t>
  </si>
  <si>
    <t>Stand-up — Session 7</t>
  </si>
  <si>
    <t>E008</t>
  </si>
  <si>
    <t>Concert — Session 8</t>
  </si>
  <si>
    <t>E009</t>
  </si>
  <si>
    <t>Danse — Session 9</t>
  </si>
  <si>
    <t>Espace Joliette</t>
  </si>
  <si>
    <t>E010</t>
  </si>
  <si>
    <t>Projection — Session 10</t>
  </si>
  <si>
    <t>E011</t>
  </si>
  <si>
    <t>Danse — Session 11</t>
  </si>
  <si>
    <t>E012</t>
  </si>
  <si>
    <t>Concert — Session 12</t>
  </si>
  <si>
    <t>E013</t>
  </si>
  <si>
    <t>Danse — Session 13</t>
  </si>
  <si>
    <t>E014</t>
  </si>
  <si>
    <t>Conférence — Session 14</t>
  </si>
  <si>
    <t>E015</t>
  </si>
  <si>
    <t>Théâtre — Session 15</t>
  </si>
  <si>
    <t>E016</t>
  </si>
  <si>
    <t>Projection — Session 16</t>
  </si>
  <si>
    <t>E017</t>
  </si>
  <si>
    <t>Stand-up — Session 17</t>
  </si>
  <si>
    <t>E018</t>
  </si>
  <si>
    <t>Danse — Session 18</t>
  </si>
  <si>
    <t>Salle du Vieux-Port</t>
  </si>
  <si>
    <t>E019</t>
  </si>
  <si>
    <t>Concert — Session 19</t>
  </si>
  <si>
    <t>E020</t>
  </si>
  <si>
    <t>Conférence — Session 20</t>
  </si>
  <si>
    <t>Salle Prado</t>
  </si>
  <si>
    <t>E021</t>
  </si>
  <si>
    <t>Stand-up — Session 21</t>
  </si>
  <si>
    <t>E022</t>
  </si>
  <si>
    <t>Conférence — Session 22</t>
  </si>
  <si>
    <t>E023</t>
  </si>
  <si>
    <t>Théâtre — Session 23</t>
  </si>
  <si>
    <t>E024</t>
  </si>
  <si>
    <t>Danse — Session 24</t>
  </si>
  <si>
    <t>base_price</t>
  </si>
  <si>
    <t>genre</t>
  </si>
  <si>
    <t>quartier_zone</t>
  </si>
  <si>
    <t>Projection</t>
  </si>
  <si>
    <t>Le Panier</t>
  </si>
  <si>
    <t>Danse</t>
  </si>
  <si>
    <t>Les Goudes</t>
  </si>
  <si>
    <t>Stand-up</t>
  </si>
  <si>
    <t>Belle de Mai</t>
  </si>
  <si>
    <t>Concert</t>
  </si>
  <si>
    <t>L’Estaque</t>
  </si>
  <si>
    <t>La Joliette</t>
  </si>
  <si>
    <t>La Plaine</t>
  </si>
  <si>
    <t>Festival</t>
  </si>
  <si>
    <t>Vieux-Port</t>
  </si>
  <si>
    <t>Saint-Barnabé</t>
  </si>
  <si>
    <t>Cours Julien</t>
  </si>
  <si>
    <t>Conférence</t>
  </si>
  <si>
    <t>Castellane</t>
  </si>
  <si>
    <t>Saint-Loup</t>
  </si>
  <si>
    <t>Théâtre</t>
  </si>
  <si>
    <t>Pointe Rouge</t>
  </si>
  <si>
    <t>Endoume</t>
  </si>
  <si>
    <t>Noailles</t>
  </si>
  <si>
    <t>KPIs</t>
  </si>
  <si>
    <t>Tickets vendus</t>
  </si>
  <si>
    <t>Panier moyen</t>
  </si>
  <si>
    <t>Taux de remplissage moyen</t>
  </si>
  <si>
    <t xml:space="preserve">CA total </t>
  </si>
  <si>
    <t>Valeur</t>
  </si>
  <si>
    <t xml:space="preserve"> </t>
  </si>
  <si>
    <t>Étiquettes de lignes</t>
  </si>
  <si>
    <t>Total général</t>
  </si>
  <si>
    <t>Somme de revenue</t>
  </si>
  <si>
    <t>ALERTES</t>
  </si>
  <si>
    <t>DIAGNOSTICS</t>
  </si>
  <si>
    <t>ACTIONS</t>
  </si>
  <si>
    <t>janv</t>
  </si>
  <si>
    <t>févr</t>
  </si>
  <si>
    <t>mars</t>
  </si>
  <si>
    <t>avr</t>
  </si>
  <si>
    <t>mai</t>
  </si>
  <si>
    <t>juin</t>
  </si>
  <si>
    <t>CA 7 derniers jours</t>
  </si>
  <si>
    <t>CA 7 jours précédents</t>
  </si>
  <si>
    <t>Variation (%)</t>
  </si>
  <si>
    <t>Dernier jour data</t>
  </si>
  <si>
    <t>Nb de transactions</t>
  </si>
  <si>
    <t>Tx 7 jours précédents</t>
  </si>
  <si>
    <t>Var Tx %</t>
  </si>
  <si>
    <t>Panier moyen 7 jours</t>
  </si>
  <si>
    <t>Panier moyen 7 jours précédents</t>
  </si>
  <si>
    <t>Var panier %</t>
  </si>
  <si>
    <t>Tickets 7 jours</t>
  </si>
  <si>
    <t>Tickets 7 jours précédents</t>
  </si>
  <si>
    <t>Var tickets %</t>
  </si>
  <si>
    <t>Top 10 evènements "à risque"</t>
  </si>
  <si>
    <t>Capacité estimée</t>
  </si>
  <si>
    <t>Manque à gagner estimé</t>
  </si>
  <si>
    <t xml:space="preserve">Top impact </t>
  </si>
  <si>
    <t>Action</t>
  </si>
  <si>
    <t>Cible</t>
  </si>
  <si>
    <t>KPI à suivre</t>
  </si>
  <si>
    <t>Timing</t>
  </si>
  <si>
    <t>Plan relance 48h (boost + message urgence)</t>
  </si>
  <si>
    <t>Δ tickets_sold (72h) + Δ revenue (72h)</t>
  </si>
  <si>
    <t>Déclenchement automatique si Var CA ≤ seuil (-10%)</t>
  </si>
  <si>
    <t>Relance séquencée J-10 / J-7 / J-3</t>
  </si>
  <si>
    <t>Top 10 risque (fill_rate bas)</t>
  </si>
  <si>
    <t>fill_rate ≥ 70% (à J-2)</t>
  </si>
  <si>
    <t>Calendrier fixe (J-10, J-7, J-3)</t>
  </si>
  <si>
    <t>Offres bundle / duo / pass pour remonter le panier</t>
  </si>
  <si>
    <t>Tous events — priorité Top impact + Top risque</t>
  </si>
  <si>
    <t>Panier moyen +10% en 2 semaines</t>
  </si>
  <si>
    <t>Lancement immédiat + revue hebdo</t>
  </si>
  <si>
    <t>Rappel J-1 + J-0 (infos accès + ajout calendrier)</t>
  </si>
  <si>
    <t>no_show_rate -2 points (2 semaines)</t>
  </si>
  <si>
    <t>J-1 (18h) + J-0 (matin)</t>
  </si>
  <si>
    <t>Ajouter champ channel au niveau transaction (v2 dataset)</t>
  </si>
  <si>
    <t>Pipeline de génération / exports Excel</t>
  </si>
  <si>
    <t>% CA par canal + Var 7j par canal</t>
  </si>
  <si>
    <t>V2 (itération suivante)</t>
  </si>
  <si>
    <t>Priorité aux 5 événements à plus fort manque à gagner (impact €) ; en parallèle, traitement des 10 événements à faible remplissage (risque).</t>
  </si>
  <si>
    <t>BASE</t>
  </si>
  <si>
    <t>Top 5 Impact no-show (€)</t>
  </si>
  <si>
    <t>Impact no-show (€)</t>
  </si>
  <si>
    <t>La baisse est concentrée sur quelques événements à fort manque à gagner (Danse—Session 18, Projection—Session 5, Conf—Session 20) : priorité à ces 5 pour récupérer du CA rapidement, tout en traitant en parallèle les 10 plus faibles fill_rate.</t>
  </si>
  <si>
    <t>Jour</t>
  </si>
  <si>
    <t>CA</t>
  </si>
  <si>
    <t>Base graphique courbe CA -&gt; Jour</t>
  </si>
  <si>
    <t>Pilotage billeterie - Dashboard Ops</t>
  </si>
  <si>
    <t>Seuil alerte (%) :</t>
  </si>
  <si>
    <t>Période analysée :</t>
  </si>
  <si>
    <t>Le CA progresse fortement jusqu’à mai puis chute en juin ; la performance est concentrée sur quelques événements (Top 10 = ~70% du CA) et dominée par la Danse.</t>
  </si>
  <si>
    <t>BONUS</t>
  </si>
  <si>
    <t>Valeurs</t>
  </si>
  <si>
    <t>CA en hausse jusqu’à mai puis rupture en juin ; 10 événements concentrent ~70% du CA, avec une dominance du genre Danse.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</si>
</sst>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5" formatCode="#,##0.00\ &quot;€&quot;"/>
    <numFmt numFmtId="168" formatCode="_-* #,##0.0\ &quot;€&quot;_-;\-* #,##0.0\ &quot;€&quot;_-;_-* &quot;-&quot;??\ &quot;€&quot;_-;_-@_-"/>
    <numFmt numFmtId="169" formatCode="_-* #,##0\ &quot;€&quot;_-;\-* #,##0\ &quot;€&quot;_-;_-* &quot;-&quot;??\ &quot;€&quot;_-;_-@_-"/>
    <numFmt numFmtId="174" formatCode="_-* #,##0.00\ [$€-40C]_-;\-* #,##0.00\ [$€-40C]_-;_-* &quot;-&quot;??\ [$€-40C]_-;_-@_-"/>
    <numFmt numFmtId="176" formatCode="_-* #,##0\ [$€-40C]_-;\-* #,##0\ [$€-40C]_-;_-* &quot;-&quot;??\ [$€-40C]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1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9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9" fontId="0" fillId="0" borderId="0" xfId="2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9" fontId="6" fillId="0" borderId="0" xfId="2" applyFont="1" applyAlignment="1">
      <alignment wrapText="1"/>
    </xf>
    <xf numFmtId="14" fontId="5" fillId="0" borderId="0" xfId="0" applyNumberFormat="1" applyFont="1" applyAlignment="1">
      <alignment horizontal="left" wrapText="1"/>
    </xf>
    <xf numFmtId="44" fontId="5" fillId="0" borderId="0" xfId="1" applyFont="1" applyAlignment="1">
      <alignment horizontal="right" wrapText="1"/>
    </xf>
    <xf numFmtId="165" fontId="5" fillId="0" borderId="0" xfId="0" applyNumberFormat="1" applyFont="1" applyAlignment="1">
      <alignment horizontal="right" wrapText="1"/>
    </xf>
    <xf numFmtId="9" fontId="5" fillId="0" borderId="0" xfId="2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4" fontId="3" fillId="0" borderId="0" xfId="1" applyFont="1" applyAlignment="1">
      <alignment wrapText="1"/>
    </xf>
    <xf numFmtId="9" fontId="3" fillId="0" borderId="0" xfId="2" applyFont="1" applyAlignment="1">
      <alignment wrapText="1"/>
    </xf>
    <xf numFmtId="0" fontId="0" fillId="3" borderId="1" xfId="0" applyFill="1" applyBorder="1"/>
    <xf numFmtId="0" fontId="0" fillId="0" borderId="1" xfId="0" applyBorder="1"/>
    <xf numFmtId="0" fontId="14" fillId="2" borderId="6" xfId="0" applyFont="1" applyFill="1" applyBorder="1"/>
    <xf numFmtId="0" fontId="0" fillId="0" borderId="7" xfId="0" applyBorder="1"/>
    <xf numFmtId="0" fontId="0" fillId="0" borderId="6" xfId="0" applyBorder="1"/>
    <xf numFmtId="0" fontId="3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1" fontId="3" fillId="0" borderId="4" xfId="0" applyNumberFormat="1" applyFont="1" applyBorder="1" applyAlignment="1">
      <alignment wrapText="1"/>
    </xf>
    <xf numFmtId="0" fontId="13" fillId="4" borderId="8" xfId="0" applyFont="1" applyFill="1" applyBorder="1" applyAlignment="1">
      <alignment wrapText="1"/>
    </xf>
    <xf numFmtId="0" fontId="13" fillId="4" borderId="9" xfId="0" applyFont="1" applyFill="1" applyBorder="1" applyAlignment="1">
      <alignment wrapText="1"/>
    </xf>
    <xf numFmtId="0" fontId="13" fillId="4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13" fillId="5" borderId="0" xfId="0" applyFont="1" applyFill="1" applyAlignment="1">
      <alignment wrapText="1"/>
    </xf>
    <xf numFmtId="44" fontId="3" fillId="0" borderId="4" xfId="1" applyFont="1" applyBorder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6" fillId="7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4" fillId="9" borderId="0" xfId="0" applyFont="1" applyFill="1" applyAlignment="1">
      <alignment wrapText="1"/>
    </xf>
    <xf numFmtId="0" fontId="13" fillId="10" borderId="11" xfId="0" applyFont="1" applyFill="1" applyBorder="1" applyAlignment="1">
      <alignment wrapText="1"/>
    </xf>
    <xf numFmtId="0" fontId="13" fillId="10" borderId="12" xfId="0" applyFont="1" applyFill="1" applyBorder="1" applyAlignment="1">
      <alignment wrapText="1"/>
    </xf>
    <xf numFmtId="0" fontId="13" fillId="10" borderId="13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12" fillId="0" borderId="10" xfId="3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11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8" fillId="12" borderId="0" xfId="0" applyFont="1" applyFill="1" applyAlignment="1">
      <alignment vertical="center" wrapText="1"/>
    </xf>
    <xf numFmtId="0" fontId="6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 wrapText="1"/>
    </xf>
    <xf numFmtId="9" fontId="3" fillId="0" borderId="4" xfId="2" applyFont="1" applyBorder="1" applyAlignment="1">
      <alignment wrapText="1"/>
    </xf>
    <xf numFmtId="9" fontId="3" fillId="0" borderId="2" xfId="2" applyFont="1" applyBorder="1" applyAlignment="1">
      <alignment wrapText="1"/>
    </xf>
    <xf numFmtId="44" fontId="3" fillId="0" borderId="2" xfId="1" applyFont="1" applyBorder="1" applyAlignment="1">
      <alignment wrapText="1"/>
    </xf>
    <xf numFmtId="0" fontId="17" fillId="0" borderId="0" xfId="0" applyFont="1" applyAlignment="1">
      <alignment wrapText="1"/>
    </xf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0" fontId="0" fillId="0" borderId="0" xfId="0" applyAlignment="1">
      <alignment horizontal="centerContinuous"/>
    </xf>
    <xf numFmtId="0" fontId="0" fillId="0" borderId="0" xfId="0" applyAlignment="1">
      <alignment horizontal="centerContinuous" wrapText="1"/>
    </xf>
    <xf numFmtId="0" fontId="11" fillId="14" borderId="0" xfId="0" applyFont="1" applyFill="1" applyAlignment="1">
      <alignment wrapText="1"/>
    </xf>
    <xf numFmtId="0" fontId="0" fillId="0" borderId="7" xfId="0" applyFont="1" applyBorder="1"/>
    <xf numFmtId="44" fontId="0" fillId="3" borderId="6" xfId="1" applyFont="1" applyFill="1" applyBorder="1"/>
    <xf numFmtId="44" fontId="0" fillId="0" borderId="1" xfId="1" applyFont="1" applyBorder="1"/>
    <xf numFmtId="44" fontId="0" fillId="3" borderId="1" xfId="1" applyFont="1" applyFill="1" applyBorder="1"/>
    <xf numFmtId="44" fontId="0" fillId="0" borderId="7" xfId="1" applyFont="1" applyBorder="1"/>
    <xf numFmtId="44" fontId="0" fillId="0" borderId="0" xfId="0" applyNumberFormat="1"/>
    <xf numFmtId="0" fontId="0" fillId="15" borderId="0" xfId="0" applyFill="1"/>
    <xf numFmtId="9" fontId="0" fillId="15" borderId="0" xfId="2" applyFont="1" applyFill="1"/>
    <xf numFmtId="0" fontId="0" fillId="11" borderId="0" xfId="0" applyFill="1"/>
    <xf numFmtId="0" fontId="0" fillId="11" borderId="0" xfId="0" applyFill="1" applyAlignment="1">
      <alignment horizontal="left"/>
    </xf>
    <xf numFmtId="165" fontId="0" fillId="11" borderId="0" xfId="0" applyNumberFormat="1" applyFill="1"/>
    <xf numFmtId="0" fontId="0" fillId="16" borderId="0" xfId="0" applyFill="1"/>
    <xf numFmtId="0" fontId="19" fillId="16" borderId="0" xfId="0" applyFont="1" applyFill="1" applyAlignment="1">
      <alignment horizontal="left"/>
    </xf>
    <xf numFmtId="44" fontId="0" fillId="11" borderId="0" xfId="0" applyNumberFormat="1" applyFill="1"/>
    <xf numFmtId="0" fontId="0" fillId="17" borderId="0" xfId="0" applyFill="1"/>
    <xf numFmtId="174" fontId="18" fillId="13" borderId="0" xfId="1" applyNumberFormat="1" applyFont="1" applyFill="1" applyBorder="1" applyAlignment="1">
      <alignment horizontal="left"/>
    </xf>
    <xf numFmtId="168" fontId="18" fillId="13" borderId="0" xfId="1" applyNumberFormat="1" applyFont="1" applyFill="1" applyBorder="1"/>
    <xf numFmtId="0" fontId="21" fillId="0" borderId="0" xfId="0" applyFont="1"/>
    <xf numFmtId="1" fontId="18" fillId="15" borderId="0" xfId="0" applyNumberFormat="1" applyFont="1" applyFill="1" applyBorder="1"/>
    <xf numFmtId="9" fontId="18" fillId="15" borderId="0" xfId="2" applyNumberFormat="1" applyFont="1" applyFill="1" applyBorder="1"/>
    <xf numFmtId="0" fontId="18" fillId="13" borderId="18" xfId="0" applyFont="1" applyFill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13" borderId="19" xfId="0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1" fontId="18" fillId="0" borderId="20" xfId="0" applyNumberFormat="1" applyFont="1" applyBorder="1" applyAlignment="1">
      <alignment horizontal="center"/>
    </xf>
    <xf numFmtId="9" fontId="18" fillId="0" borderId="11" xfId="2" applyNumberFormat="1" applyFont="1" applyBorder="1" applyAlignment="1">
      <alignment horizontal="center"/>
    </xf>
    <xf numFmtId="0" fontId="20" fillId="0" borderId="17" xfId="0" applyFont="1" applyBorder="1"/>
    <xf numFmtId="0" fontId="20" fillId="0" borderId="12" xfId="0" applyFont="1" applyBorder="1"/>
    <xf numFmtId="169" fontId="18" fillId="13" borderId="20" xfId="1" applyNumberFormat="1" applyFont="1" applyFill="1" applyBorder="1" applyAlignment="1">
      <alignment horizontal="center"/>
    </xf>
    <xf numFmtId="176" fontId="18" fillId="13" borderId="13" xfId="1" applyNumberFormat="1" applyFont="1" applyFill="1" applyBorder="1" applyAlignment="1">
      <alignment horizontal="center"/>
    </xf>
  </cellXfs>
  <cellStyles count="4">
    <cellStyle name="Lien hypertexte" xfId="3" builtinId="8"/>
    <cellStyle name="Monétaire" xfId="1" builtinId="4"/>
    <cellStyle name="Normal" xfId="0" builtinId="0"/>
    <cellStyle name="Pourcentage" xfId="2" builtinId="5"/>
  </cellStyles>
  <dxfs count="1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6" formatCode="#,##0\ &quot;€&quot;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5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5"/>
          <bgColor theme="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DATA_kpi_daily!$C$1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accent1"/>
              </a:solidFill>
            </a:ln>
            <a:effectLst/>
          </c:spPr>
          <c:cat>
            <c:numRef>
              <c:f>DATA_kpi_daily!$A$2:$A$165</c:f>
              <c:numCache>
                <c:formatCode>m/d/yyyy</c:formatCode>
                <c:ptCount val="164"/>
                <c:pt idx="0">
                  <c:v>46029</c:v>
                </c:pt>
                <c:pt idx="1">
                  <c:v>46031</c:v>
                </c:pt>
                <c:pt idx="2">
                  <c:v>46036</c:v>
                </c:pt>
                <c:pt idx="3">
                  <c:v>46037</c:v>
                </c:pt>
                <c:pt idx="4">
                  <c:v>46040</c:v>
                </c:pt>
                <c:pt idx="5">
                  <c:v>46041</c:v>
                </c:pt>
                <c:pt idx="6">
                  <c:v>46042</c:v>
                </c:pt>
                <c:pt idx="7">
                  <c:v>46043</c:v>
                </c:pt>
                <c:pt idx="8">
                  <c:v>46044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46137</c:v>
                </c:pt>
                <c:pt idx="101">
                  <c:v>46138</c:v>
                </c:pt>
                <c:pt idx="102">
                  <c:v>46139</c:v>
                </c:pt>
                <c:pt idx="103">
                  <c:v>46140</c:v>
                </c:pt>
                <c:pt idx="104">
                  <c:v>46141</c:v>
                </c:pt>
                <c:pt idx="105">
                  <c:v>46142</c:v>
                </c:pt>
                <c:pt idx="106">
                  <c:v>46143</c:v>
                </c:pt>
                <c:pt idx="107">
                  <c:v>46144</c:v>
                </c:pt>
                <c:pt idx="108">
                  <c:v>46145</c:v>
                </c:pt>
                <c:pt idx="109">
                  <c:v>46146</c:v>
                </c:pt>
                <c:pt idx="110">
                  <c:v>46147</c:v>
                </c:pt>
                <c:pt idx="111">
                  <c:v>46148</c:v>
                </c:pt>
                <c:pt idx="112">
                  <c:v>46149</c:v>
                </c:pt>
                <c:pt idx="113">
                  <c:v>46150</c:v>
                </c:pt>
                <c:pt idx="114">
                  <c:v>46151</c:v>
                </c:pt>
                <c:pt idx="115">
                  <c:v>46152</c:v>
                </c:pt>
                <c:pt idx="116">
                  <c:v>46153</c:v>
                </c:pt>
                <c:pt idx="117">
                  <c:v>46154</c:v>
                </c:pt>
                <c:pt idx="118">
                  <c:v>46155</c:v>
                </c:pt>
                <c:pt idx="119">
                  <c:v>46156</c:v>
                </c:pt>
                <c:pt idx="120">
                  <c:v>46157</c:v>
                </c:pt>
                <c:pt idx="121">
                  <c:v>46158</c:v>
                </c:pt>
                <c:pt idx="122">
                  <c:v>46159</c:v>
                </c:pt>
                <c:pt idx="123">
                  <c:v>46160</c:v>
                </c:pt>
                <c:pt idx="124">
                  <c:v>46161</c:v>
                </c:pt>
                <c:pt idx="125">
                  <c:v>46162</c:v>
                </c:pt>
                <c:pt idx="126">
                  <c:v>46163</c:v>
                </c:pt>
                <c:pt idx="127">
                  <c:v>46164</c:v>
                </c:pt>
                <c:pt idx="128">
                  <c:v>46165</c:v>
                </c:pt>
                <c:pt idx="129">
                  <c:v>46166</c:v>
                </c:pt>
                <c:pt idx="130">
                  <c:v>46167</c:v>
                </c:pt>
                <c:pt idx="131">
                  <c:v>46168</c:v>
                </c:pt>
                <c:pt idx="132">
                  <c:v>46169</c:v>
                </c:pt>
                <c:pt idx="133">
                  <c:v>46170</c:v>
                </c:pt>
                <c:pt idx="134">
                  <c:v>46171</c:v>
                </c:pt>
                <c:pt idx="135">
                  <c:v>46172</c:v>
                </c:pt>
                <c:pt idx="136">
                  <c:v>46173</c:v>
                </c:pt>
                <c:pt idx="137">
                  <c:v>46174</c:v>
                </c:pt>
                <c:pt idx="138">
                  <c:v>46175</c:v>
                </c:pt>
                <c:pt idx="139">
                  <c:v>46176</c:v>
                </c:pt>
                <c:pt idx="140">
                  <c:v>46177</c:v>
                </c:pt>
                <c:pt idx="141">
                  <c:v>46178</c:v>
                </c:pt>
                <c:pt idx="142">
                  <c:v>46179</c:v>
                </c:pt>
                <c:pt idx="143">
                  <c:v>46180</c:v>
                </c:pt>
                <c:pt idx="144">
                  <c:v>46181</c:v>
                </c:pt>
                <c:pt idx="145">
                  <c:v>46182</c:v>
                </c:pt>
                <c:pt idx="146">
                  <c:v>46183</c:v>
                </c:pt>
                <c:pt idx="147">
                  <c:v>46184</c:v>
                </c:pt>
                <c:pt idx="148">
                  <c:v>46185</c:v>
                </c:pt>
                <c:pt idx="149">
                  <c:v>46186</c:v>
                </c:pt>
                <c:pt idx="150">
                  <c:v>46187</c:v>
                </c:pt>
                <c:pt idx="151">
                  <c:v>46188</c:v>
                </c:pt>
                <c:pt idx="152">
                  <c:v>46189</c:v>
                </c:pt>
                <c:pt idx="153">
                  <c:v>46190</c:v>
                </c:pt>
                <c:pt idx="154">
                  <c:v>46191</c:v>
                </c:pt>
                <c:pt idx="155">
                  <c:v>46192</c:v>
                </c:pt>
                <c:pt idx="156">
                  <c:v>46193</c:v>
                </c:pt>
                <c:pt idx="157">
                  <c:v>46194</c:v>
                </c:pt>
                <c:pt idx="158">
                  <c:v>46195</c:v>
                </c:pt>
                <c:pt idx="159">
                  <c:v>46196</c:v>
                </c:pt>
                <c:pt idx="160">
                  <c:v>46197</c:v>
                </c:pt>
                <c:pt idx="161">
                  <c:v>46198</c:v>
                </c:pt>
                <c:pt idx="162">
                  <c:v>46199</c:v>
                </c:pt>
                <c:pt idx="163">
                  <c:v>46200</c:v>
                </c:pt>
              </c:numCache>
            </c:numRef>
          </c:cat>
          <c:val>
            <c:numRef>
              <c:f>DATA_kpi_daily!$C$2:$C$165</c:f>
              <c:numCache>
                <c:formatCode>0.00</c:formatCode>
                <c:ptCount val="164"/>
                <c:pt idx="0">
                  <c:v>15.81</c:v>
                </c:pt>
                <c:pt idx="1">
                  <c:v>11.89</c:v>
                </c:pt>
                <c:pt idx="2">
                  <c:v>11.96</c:v>
                </c:pt>
                <c:pt idx="3">
                  <c:v>63.31</c:v>
                </c:pt>
                <c:pt idx="4">
                  <c:v>12.01</c:v>
                </c:pt>
                <c:pt idx="5">
                  <c:v>15.78</c:v>
                </c:pt>
                <c:pt idx="6">
                  <c:v>73.41</c:v>
                </c:pt>
                <c:pt idx="7">
                  <c:v>0</c:v>
                </c:pt>
                <c:pt idx="8">
                  <c:v>203.28</c:v>
                </c:pt>
                <c:pt idx="9">
                  <c:v>158.35</c:v>
                </c:pt>
                <c:pt idx="10">
                  <c:v>135.15</c:v>
                </c:pt>
                <c:pt idx="11">
                  <c:v>67.62</c:v>
                </c:pt>
                <c:pt idx="12">
                  <c:v>38.32</c:v>
                </c:pt>
                <c:pt idx="13">
                  <c:v>105.61</c:v>
                </c:pt>
                <c:pt idx="14">
                  <c:v>251.63</c:v>
                </c:pt>
                <c:pt idx="15">
                  <c:v>96.12</c:v>
                </c:pt>
                <c:pt idx="16">
                  <c:v>353.54</c:v>
                </c:pt>
                <c:pt idx="17">
                  <c:v>150.97</c:v>
                </c:pt>
                <c:pt idx="18">
                  <c:v>188.78</c:v>
                </c:pt>
                <c:pt idx="19">
                  <c:v>185.8</c:v>
                </c:pt>
                <c:pt idx="20">
                  <c:v>382.52</c:v>
                </c:pt>
                <c:pt idx="21">
                  <c:v>236.52</c:v>
                </c:pt>
                <c:pt idx="22">
                  <c:v>352.15</c:v>
                </c:pt>
                <c:pt idx="23">
                  <c:v>161.05000000000001</c:v>
                </c:pt>
                <c:pt idx="24">
                  <c:v>412.87</c:v>
                </c:pt>
                <c:pt idx="25">
                  <c:v>382.49</c:v>
                </c:pt>
                <c:pt idx="26">
                  <c:v>689.7</c:v>
                </c:pt>
                <c:pt idx="27">
                  <c:v>716.46</c:v>
                </c:pt>
                <c:pt idx="28">
                  <c:v>725.7</c:v>
                </c:pt>
                <c:pt idx="29">
                  <c:v>690.65</c:v>
                </c:pt>
                <c:pt idx="30">
                  <c:v>779.98</c:v>
                </c:pt>
                <c:pt idx="31">
                  <c:v>446.57</c:v>
                </c:pt>
                <c:pt idx="32">
                  <c:v>856.51</c:v>
                </c:pt>
                <c:pt idx="33">
                  <c:v>612.15</c:v>
                </c:pt>
                <c:pt idx="34">
                  <c:v>1028.1600000000001</c:v>
                </c:pt>
                <c:pt idx="35">
                  <c:v>959.04</c:v>
                </c:pt>
                <c:pt idx="36">
                  <c:v>898.5</c:v>
                </c:pt>
                <c:pt idx="37">
                  <c:v>1635.14</c:v>
                </c:pt>
                <c:pt idx="38">
                  <c:v>1224.04</c:v>
                </c:pt>
                <c:pt idx="39">
                  <c:v>1183.67</c:v>
                </c:pt>
                <c:pt idx="40">
                  <c:v>1401.74</c:v>
                </c:pt>
                <c:pt idx="41">
                  <c:v>1474.39</c:v>
                </c:pt>
                <c:pt idx="42">
                  <c:v>1728.59</c:v>
                </c:pt>
                <c:pt idx="43">
                  <c:v>1526.21</c:v>
                </c:pt>
                <c:pt idx="44">
                  <c:v>1631.8</c:v>
                </c:pt>
                <c:pt idx="45">
                  <c:v>1748.14</c:v>
                </c:pt>
                <c:pt idx="46">
                  <c:v>1851.65</c:v>
                </c:pt>
                <c:pt idx="47">
                  <c:v>1480.02</c:v>
                </c:pt>
                <c:pt idx="48">
                  <c:v>1465.7</c:v>
                </c:pt>
                <c:pt idx="49">
                  <c:v>1600.88</c:v>
                </c:pt>
                <c:pt idx="50">
                  <c:v>2376.04</c:v>
                </c:pt>
                <c:pt idx="51">
                  <c:v>1750.47</c:v>
                </c:pt>
                <c:pt idx="52">
                  <c:v>1846.4</c:v>
                </c:pt>
                <c:pt idx="53">
                  <c:v>2843.36</c:v>
                </c:pt>
                <c:pt idx="54">
                  <c:v>1668.93</c:v>
                </c:pt>
                <c:pt idx="55">
                  <c:v>2240.52</c:v>
                </c:pt>
                <c:pt idx="56">
                  <c:v>1559.1</c:v>
                </c:pt>
                <c:pt idx="57">
                  <c:v>1354.1</c:v>
                </c:pt>
                <c:pt idx="58">
                  <c:v>1889.81</c:v>
                </c:pt>
                <c:pt idx="59">
                  <c:v>2049.33</c:v>
                </c:pt>
                <c:pt idx="60">
                  <c:v>3769.76</c:v>
                </c:pt>
                <c:pt idx="61">
                  <c:v>1614.57</c:v>
                </c:pt>
                <c:pt idx="62">
                  <c:v>1451.35</c:v>
                </c:pt>
                <c:pt idx="63">
                  <c:v>1481.75</c:v>
                </c:pt>
                <c:pt idx="64">
                  <c:v>1312.87</c:v>
                </c:pt>
                <c:pt idx="65">
                  <c:v>1822.81</c:v>
                </c:pt>
                <c:pt idx="66">
                  <c:v>1595.74</c:v>
                </c:pt>
                <c:pt idx="67">
                  <c:v>1534.86</c:v>
                </c:pt>
                <c:pt idx="68">
                  <c:v>2131.81</c:v>
                </c:pt>
                <c:pt idx="69">
                  <c:v>1459.63</c:v>
                </c:pt>
                <c:pt idx="70">
                  <c:v>1584.62</c:v>
                </c:pt>
                <c:pt idx="71">
                  <c:v>1958.59</c:v>
                </c:pt>
                <c:pt idx="72">
                  <c:v>2431.84</c:v>
                </c:pt>
                <c:pt idx="73">
                  <c:v>1918.23</c:v>
                </c:pt>
                <c:pt idx="74">
                  <c:v>4202.04</c:v>
                </c:pt>
                <c:pt idx="75">
                  <c:v>1924.99</c:v>
                </c:pt>
                <c:pt idx="76">
                  <c:v>1889.04</c:v>
                </c:pt>
                <c:pt idx="77">
                  <c:v>1673</c:v>
                </c:pt>
                <c:pt idx="78">
                  <c:v>2063.8000000000002</c:v>
                </c:pt>
                <c:pt idx="79">
                  <c:v>1815.87</c:v>
                </c:pt>
                <c:pt idx="80">
                  <c:v>2331.1</c:v>
                </c:pt>
                <c:pt idx="81">
                  <c:v>2537.48</c:v>
                </c:pt>
                <c:pt idx="82">
                  <c:v>4536.6499999999996</c:v>
                </c:pt>
                <c:pt idx="83">
                  <c:v>2302.34</c:v>
                </c:pt>
                <c:pt idx="84">
                  <c:v>2050.69</c:v>
                </c:pt>
                <c:pt idx="85">
                  <c:v>2478.54</c:v>
                </c:pt>
                <c:pt idx="86">
                  <c:v>4685.55</c:v>
                </c:pt>
                <c:pt idx="87">
                  <c:v>1852.4</c:v>
                </c:pt>
                <c:pt idx="88">
                  <c:v>2148.62</c:v>
                </c:pt>
                <c:pt idx="89">
                  <c:v>1979.27</c:v>
                </c:pt>
                <c:pt idx="90">
                  <c:v>2193.85</c:v>
                </c:pt>
                <c:pt idx="91">
                  <c:v>1969.59</c:v>
                </c:pt>
                <c:pt idx="92">
                  <c:v>2652.63</c:v>
                </c:pt>
                <c:pt idx="93">
                  <c:v>2778.47</c:v>
                </c:pt>
                <c:pt idx="94">
                  <c:v>2180.4</c:v>
                </c:pt>
                <c:pt idx="95">
                  <c:v>2447.56</c:v>
                </c:pt>
                <c:pt idx="96">
                  <c:v>3334.71</c:v>
                </c:pt>
                <c:pt idx="97">
                  <c:v>3455.93</c:v>
                </c:pt>
                <c:pt idx="98">
                  <c:v>6636.88</c:v>
                </c:pt>
                <c:pt idx="99">
                  <c:v>1755.18</c:v>
                </c:pt>
                <c:pt idx="100">
                  <c:v>2642.51</c:v>
                </c:pt>
                <c:pt idx="101">
                  <c:v>2577.12</c:v>
                </c:pt>
                <c:pt idx="102">
                  <c:v>3018.63</c:v>
                </c:pt>
                <c:pt idx="103">
                  <c:v>3201.6</c:v>
                </c:pt>
                <c:pt idx="104">
                  <c:v>2996.45</c:v>
                </c:pt>
                <c:pt idx="105">
                  <c:v>3603.54</c:v>
                </c:pt>
                <c:pt idx="106">
                  <c:v>2946.5</c:v>
                </c:pt>
                <c:pt idx="107">
                  <c:v>2916.25</c:v>
                </c:pt>
                <c:pt idx="108">
                  <c:v>3487.16</c:v>
                </c:pt>
                <c:pt idx="109">
                  <c:v>4227.09</c:v>
                </c:pt>
                <c:pt idx="110">
                  <c:v>4419.2299999999996</c:v>
                </c:pt>
                <c:pt idx="111">
                  <c:v>3945.63</c:v>
                </c:pt>
                <c:pt idx="112">
                  <c:v>3733.1</c:v>
                </c:pt>
                <c:pt idx="113">
                  <c:v>4741.79</c:v>
                </c:pt>
                <c:pt idx="114">
                  <c:v>3350.94</c:v>
                </c:pt>
                <c:pt idx="115">
                  <c:v>3858.9</c:v>
                </c:pt>
                <c:pt idx="116">
                  <c:v>4338.95</c:v>
                </c:pt>
                <c:pt idx="117">
                  <c:v>3077.42</c:v>
                </c:pt>
                <c:pt idx="118">
                  <c:v>3190.44</c:v>
                </c:pt>
                <c:pt idx="119">
                  <c:v>3570.54</c:v>
                </c:pt>
                <c:pt idx="120">
                  <c:v>4546.95</c:v>
                </c:pt>
                <c:pt idx="121">
                  <c:v>3684.91</c:v>
                </c:pt>
                <c:pt idx="122">
                  <c:v>11636.73</c:v>
                </c:pt>
                <c:pt idx="123">
                  <c:v>2064.0700000000002</c:v>
                </c:pt>
                <c:pt idx="124">
                  <c:v>1871.1</c:v>
                </c:pt>
                <c:pt idx="125">
                  <c:v>1837.35</c:v>
                </c:pt>
                <c:pt idx="126">
                  <c:v>4727.83</c:v>
                </c:pt>
                <c:pt idx="127">
                  <c:v>1197.95</c:v>
                </c:pt>
                <c:pt idx="128">
                  <c:v>1360.46</c:v>
                </c:pt>
                <c:pt idx="129">
                  <c:v>1526.2</c:v>
                </c:pt>
                <c:pt idx="130">
                  <c:v>1658.92</c:v>
                </c:pt>
                <c:pt idx="131">
                  <c:v>1458.55</c:v>
                </c:pt>
                <c:pt idx="132">
                  <c:v>1936.4</c:v>
                </c:pt>
                <c:pt idx="133">
                  <c:v>2166.9499999999998</c:v>
                </c:pt>
                <c:pt idx="134">
                  <c:v>3819.6</c:v>
                </c:pt>
                <c:pt idx="135">
                  <c:v>1890.77</c:v>
                </c:pt>
                <c:pt idx="136">
                  <c:v>1560.52</c:v>
                </c:pt>
                <c:pt idx="137">
                  <c:v>1431.55</c:v>
                </c:pt>
                <c:pt idx="138">
                  <c:v>1127.0999999999999</c:v>
                </c:pt>
                <c:pt idx="139">
                  <c:v>1509.75</c:v>
                </c:pt>
                <c:pt idx="140">
                  <c:v>2030.16</c:v>
                </c:pt>
                <c:pt idx="141">
                  <c:v>1605.06</c:v>
                </c:pt>
                <c:pt idx="142">
                  <c:v>1464.44</c:v>
                </c:pt>
                <c:pt idx="143">
                  <c:v>1218.19</c:v>
                </c:pt>
                <c:pt idx="144">
                  <c:v>1100.3399999999999</c:v>
                </c:pt>
                <c:pt idx="145">
                  <c:v>1165.2</c:v>
                </c:pt>
                <c:pt idx="146">
                  <c:v>1035.8</c:v>
                </c:pt>
                <c:pt idx="147">
                  <c:v>2171.4699999999998</c:v>
                </c:pt>
                <c:pt idx="148">
                  <c:v>1855.79</c:v>
                </c:pt>
                <c:pt idx="149">
                  <c:v>1932.78</c:v>
                </c:pt>
                <c:pt idx="150">
                  <c:v>4591.32</c:v>
                </c:pt>
                <c:pt idx="151">
                  <c:v>708.61</c:v>
                </c:pt>
                <c:pt idx="152">
                  <c:v>487.08</c:v>
                </c:pt>
                <c:pt idx="153">
                  <c:v>421.84</c:v>
                </c:pt>
                <c:pt idx="154">
                  <c:v>1206.56</c:v>
                </c:pt>
                <c:pt idx="155">
                  <c:v>361.87</c:v>
                </c:pt>
                <c:pt idx="156">
                  <c:v>709.31999999999903</c:v>
                </c:pt>
                <c:pt idx="157">
                  <c:v>270.64</c:v>
                </c:pt>
                <c:pt idx="158">
                  <c:v>591.9</c:v>
                </c:pt>
                <c:pt idx="159">
                  <c:v>387.04</c:v>
                </c:pt>
                <c:pt idx="160">
                  <c:v>566.87</c:v>
                </c:pt>
                <c:pt idx="161">
                  <c:v>785.06</c:v>
                </c:pt>
                <c:pt idx="162">
                  <c:v>217.6</c:v>
                </c:pt>
                <c:pt idx="163">
                  <c:v>1223.3499999999999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5-4931-BD28-22AEB71B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82000"/>
        <c:axId val="425987760"/>
      </c:areaChart>
      <c:dateAx>
        <c:axId val="425982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987760"/>
        <c:crosses val="autoZero"/>
        <c:auto val="1"/>
        <c:lblOffset val="100"/>
        <c:baseTimeUnit val="days"/>
      </c:dateAx>
      <c:valAx>
        <c:axId val="4259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98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[dashboard_billeterie.xlsx]KPI_event!Tableau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 évènements : 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.0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KPI_event!$B$3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#,##0.0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KPI_event!$A$4:$A$14</c:f>
              <c:strCache>
                <c:ptCount val="10"/>
                <c:pt idx="0">
                  <c:v>Danse — Session 18</c:v>
                </c:pt>
                <c:pt idx="1">
                  <c:v>Théâtre — Session 2</c:v>
                </c:pt>
                <c:pt idx="2">
                  <c:v>Projection — Session 5</c:v>
                </c:pt>
                <c:pt idx="3">
                  <c:v>Conférence — Session 1</c:v>
                </c:pt>
                <c:pt idx="4">
                  <c:v>Stand-up — Session 7</c:v>
                </c:pt>
                <c:pt idx="5">
                  <c:v>Conférence — Session 20</c:v>
                </c:pt>
                <c:pt idx="6">
                  <c:v>Danse — Session 13</c:v>
                </c:pt>
                <c:pt idx="7">
                  <c:v>Danse — Session 11</c:v>
                </c:pt>
                <c:pt idx="8">
                  <c:v>Danse — Session 24</c:v>
                </c:pt>
                <c:pt idx="9">
                  <c:v>Projection — Session 16</c:v>
                </c:pt>
              </c:strCache>
            </c:strRef>
          </c:cat>
          <c:val>
            <c:numRef>
              <c:f>KPI_event!$B$4:$B$14</c:f>
              <c:numCache>
                <c:formatCode>General</c:formatCode>
                <c:ptCount val="10"/>
                <c:pt idx="0">
                  <c:v>60938.65</c:v>
                </c:pt>
                <c:pt idx="1">
                  <c:v>27654.45</c:v>
                </c:pt>
                <c:pt idx="2">
                  <c:v>23478.3</c:v>
                </c:pt>
                <c:pt idx="3">
                  <c:v>21645.67</c:v>
                </c:pt>
                <c:pt idx="4">
                  <c:v>18073.07</c:v>
                </c:pt>
                <c:pt idx="5">
                  <c:v>14553.74</c:v>
                </c:pt>
                <c:pt idx="6">
                  <c:v>13238.34</c:v>
                </c:pt>
                <c:pt idx="7">
                  <c:v>10505.24</c:v>
                </c:pt>
                <c:pt idx="8">
                  <c:v>10016.74</c:v>
                </c:pt>
                <c:pt idx="9">
                  <c:v>8999.5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6-435B-83F9-3383FB912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6001200"/>
        <c:axId val="425991120"/>
        <c:axId val="0"/>
      </c:bar3DChart>
      <c:catAx>
        <c:axId val="42600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991120"/>
        <c:crosses val="autoZero"/>
        <c:auto val="1"/>
        <c:lblAlgn val="ctr"/>
        <c:lblOffset val="100"/>
        <c:noMultiLvlLbl val="0"/>
      </c:catAx>
      <c:valAx>
        <c:axId val="42599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60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par</a:t>
            </a:r>
            <a:r>
              <a:rPr lang="fr-FR" baseline="0"/>
              <a:t> </a:t>
            </a:r>
            <a:r>
              <a:rPr lang="fr-FR"/>
              <a:t>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DASH_direction!$B$24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DASH_direction!$A$25:$A$31</c:f>
              <c:strCache>
                <c:ptCount val="6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DASH_direction!$B$25:$B$31</c:f>
              <c:numCache>
                <c:formatCode>#\ ##0.00\ "€"</c:formatCode>
                <c:ptCount val="6"/>
                <c:pt idx="0">
                  <c:v>1613.79</c:v>
                </c:pt>
                <c:pt idx="1">
                  <c:v>22662.149999999998</c:v>
                </c:pt>
                <c:pt idx="2">
                  <c:v>59919.909999999996</c:v>
                </c:pt>
                <c:pt idx="3">
                  <c:v>81789.39999999998</c:v>
                </c:pt>
                <c:pt idx="4">
                  <c:v>100749.20000000003</c:v>
                </c:pt>
                <c:pt idx="5">
                  <c:v>32176.69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B-4D36-B3E6-F0DAF175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860303"/>
        <c:axId val="742862703"/>
      </c:lineChart>
      <c:catAx>
        <c:axId val="74286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62703"/>
        <c:crosses val="autoZero"/>
        <c:auto val="1"/>
        <c:lblAlgn val="ctr"/>
        <c:lblOffset val="100"/>
        <c:noMultiLvlLbl val="0"/>
      </c:catAx>
      <c:valAx>
        <c:axId val="7428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6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 événements (CA)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DASH_direction!$F$23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DASH_direction!$E$24:$E$34</c:f>
              <c:strCache>
                <c:ptCount val="10"/>
                <c:pt idx="0">
                  <c:v>Danse — Session 18</c:v>
                </c:pt>
                <c:pt idx="1">
                  <c:v>Théâtre — Session 2</c:v>
                </c:pt>
                <c:pt idx="2">
                  <c:v>Projection — Session 5</c:v>
                </c:pt>
                <c:pt idx="3">
                  <c:v>Conférence — Session 1</c:v>
                </c:pt>
                <c:pt idx="4">
                  <c:v>Stand-up — Session 7</c:v>
                </c:pt>
                <c:pt idx="5">
                  <c:v>Conférence — Session 20</c:v>
                </c:pt>
                <c:pt idx="6">
                  <c:v>Danse — Session 13</c:v>
                </c:pt>
                <c:pt idx="7">
                  <c:v>Danse — Session 11</c:v>
                </c:pt>
                <c:pt idx="8">
                  <c:v>Danse — Session 24</c:v>
                </c:pt>
                <c:pt idx="9">
                  <c:v>Projection — Session 16</c:v>
                </c:pt>
              </c:strCache>
            </c:strRef>
          </c:cat>
          <c:val>
            <c:numRef>
              <c:f>DASH_direction!$F$24:$F$34</c:f>
              <c:numCache>
                <c:formatCode>#\ ##0.00\ "€"</c:formatCode>
                <c:ptCount val="10"/>
                <c:pt idx="0">
                  <c:v>60938.65</c:v>
                </c:pt>
                <c:pt idx="1">
                  <c:v>27654.45</c:v>
                </c:pt>
                <c:pt idx="2">
                  <c:v>23478.3</c:v>
                </c:pt>
                <c:pt idx="3">
                  <c:v>21645.67</c:v>
                </c:pt>
                <c:pt idx="4">
                  <c:v>18073.07</c:v>
                </c:pt>
                <c:pt idx="5">
                  <c:v>14553.74</c:v>
                </c:pt>
                <c:pt idx="6">
                  <c:v>13238.34</c:v>
                </c:pt>
                <c:pt idx="7">
                  <c:v>10505.24</c:v>
                </c:pt>
                <c:pt idx="8">
                  <c:v>10016.74</c:v>
                </c:pt>
                <c:pt idx="9">
                  <c:v>8999.5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9-4A1D-84E3-CC0773CB2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872783"/>
        <c:axId val="742887183"/>
      </c:barChart>
      <c:catAx>
        <c:axId val="7428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87183"/>
        <c:crosses val="autoZero"/>
        <c:auto val="1"/>
        <c:lblAlgn val="ctr"/>
        <c:lblOffset val="100"/>
        <c:noMultiLvlLbl val="0"/>
      </c:catAx>
      <c:valAx>
        <c:axId val="74288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</a:t>
            </a:r>
            <a:r>
              <a:rPr lang="en-US" baseline="0"/>
              <a:t> par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38227922430776"/>
          <c:y val="0.25865522018081066"/>
          <c:w val="0.74683167791755023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DASH_direction!$J$24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DASH_direction!$I$25:$I$32</c:f>
              <c:strCache>
                <c:ptCount val="7"/>
                <c:pt idx="0">
                  <c:v>Danse</c:v>
                </c:pt>
                <c:pt idx="1">
                  <c:v>Conférence</c:v>
                </c:pt>
                <c:pt idx="2">
                  <c:v>Théâtre</c:v>
                </c:pt>
                <c:pt idx="3">
                  <c:v>Projection</c:v>
                </c:pt>
                <c:pt idx="4">
                  <c:v>Stand-up</c:v>
                </c:pt>
                <c:pt idx="5">
                  <c:v>Concert</c:v>
                </c:pt>
                <c:pt idx="6">
                  <c:v>Festival</c:v>
                </c:pt>
              </c:strCache>
            </c:strRef>
          </c:cat>
          <c:val>
            <c:numRef>
              <c:f>DASH_direction!$J$25:$J$32</c:f>
              <c:numCache>
                <c:formatCode>#\ ##0.00\ "€"</c:formatCode>
                <c:ptCount val="7"/>
                <c:pt idx="0">
                  <c:v>103440.67000000001</c:v>
                </c:pt>
                <c:pt idx="1">
                  <c:v>48073.81</c:v>
                </c:pt>
                <c:pt idx="2">
                  <c:v>46817.880000000005</c:v>
                </c:pt>
                <c:pt idx="3">
                  <c:v>44377.78</c:v>
                </c:pt>
                <c:pt idx="4">
                  <c:v>33058.6</c:v>
                </c:pt>
                <c:pt idx="5">
                  <c:v>17354.93</c:v>
                </c:pt>
                <c:pt idx="6">
                  <c:v>5787.47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8-433D-9C98-5546C16B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95807"/>
        <c:axId val="697402047"/>
      </c:barChart>
      <c:catAx>
        <c:axId val="6973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2047"/>
        <c:crosses val="autoZero"/>
        <c:auto val="1"/>
        <c:lblAlgn val="ctr"/>
        <c:lblOffset val="100"/>
        <c:noMultiLvlLbl val="0"/>
      </c:catAx>
      <c:valAx>
        <c:axId val="6974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quartier /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DASH_direction!$B$38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DASH_direction!$A$39:$A$53</c:f>
              <c:strCache>
                <c:ptCount val="14"/>
                <c:pt idx="0">
                  <c:v>Belle de Mai</c:v>
                </c:pt>
                <c:pt idx="1">
                  <c:v>La Joliette</c:v>
                </c:pt>
                <c:pt idx="2">
                  <c:v>La Plaine</c:v>
                </c:pt>
                <c:pt idx="3">
                  <c:v>Vieux-Port</c:v>
                </c:pt>
                <c:pt idx="4">
                  <c:v>Saint-Loup</c:v>
                </c:pt>
                <c:pt idx="5">
                  <c:v>Saint-Barnabé</c:v>
                </c:pt>
                <c:pt idx="6">
                  <c:v>Cours Julien</c:v>
                </c:pt>
                <c:pt idx="7">
                  <c:v>Castellane</c:v>
                </c:pt>
                <c:pt idx="8">
                  <c:v>Pointe Rouge</c:v>
                </c:pt>
                <c:pt idx="9">
                  <c:v>Les Goudes</c:v>
                </c:pt>
                <c:pt idx="10">
                  <c:v>Noailles</c:v>
                </c:pt>
                <c:pt idx="11">
                  <c:v>L’Estaque</c:v>
                </c:pt>
                <c:pt idx="12">
                  <c:v>Endoume</c:v>
                </c:pt>
                <c:pt idx="13">
                  <c:v>Le Panier</c:v>
                </c:pt>
              </c:strCache>
            </c:strRef>
          </c:cat>
          <c:val>
            <c:numRef>
              <c:f>DASH_direction!$B$39:$B$53</c:f>
              <c:numCache>
                <c:formatCode>_("€"* #,##0.00_);_("€"* \(#,##0.00\);_("€"* "-"??_);_(@_)</c:formatCode>
                <c:ptCount val="14"/>
                <c:pt idx="0">
                  <c:v>69848.960000000006</c:v>
                </c:pt>
                <c:pt idx="1">
                  <c:v>39353.5</c:v>
                </c:pt>
                <c:pt idx="2">
                  <c:v>37671.19</c:v>
                </c:pt>
                <c:pt idx="3">
                  <c:v>27433.14</c:v>
                </c:pt>
                <c:pt idx="4">
                  <c:v>23478.3</c:v>
                </c:pt>
                <c:pt idx="5">
                  <c:v>21332.13</c:v>
                </c:pt>
                <c:pt idx="6">
                  <c:v>18073.07</c:v>
                </c:pt>
                <c:pt idx="7">
                  <c:v>14828.09</c:v>
                </c:pt>
                <c:pt idx="8">
                  <c:v>10734.279999999999</c:v>
                </c:pt>
                <c:pt idx="9">
                  <c:v>8741.7000000000007</c:v>
                </c:pt>
                <c:pt idx="10">
                  <c:v>8429.15</c:v>
                </c:pt>
                <c:pt idx="11">
                  <c:v>8378.89</c:v>
                </c:pt>
                <c:pt idx="12">
                  <c:v>6075.22</c:v>
                </c:pt>
                <c:pt idx="13">
                  <c:v>4533.5200000000004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9-40FC-9034-2C142F32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7401087"/>
        <c:axId val="697403487"/>
      </c:barChart>
      <c:catAx>
        <c:axId val="69740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3487"/>
        <c:crosses val="autoZero"/>
        <c:auto val="1"/>
        <c:lblAlgn val="ctr"/>
        <c:lblOffset val="100"/>
        <c:noMultiLvlLbl val="0"/>
      </c:catAx>
      <c:valAx>
        <c:axId val="69740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par</a:t>
            </a:r>
            <a:r>
              <a:rPr lang="fr-FR" baseline="0"/>
              <a:t> </a:t>
            </a:r>
            <a:r>
              <a:rPr lang="fr-FR"/>
              <a:t>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DASH_direction!$B$24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DASH_direction!$A$25:$A$31</c:f>
              <c:strCache>
                <c:ptCount val="6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DASH_direction!$B$25:$B$31</c:f>
              <c:numCache>
                <c:formatCode>#\ ##0.00\ "€"</c:formatCode>
                <c:ptCount val="6"/>
                <c:pt idx="0">
                  <c:v>1613.79</c:v>
                </c:pt>
                <c:pt idx="1">
                  <c:v>22662.149999999998</c:v>
                </c:pt>
                <c:pt idx="2">
                  <c:v>59919.909999999996</c:v>
                </c:pt>
                <c:pt idx="3">
                  <c:v>81789.39999999998</c:v>
                </c:pt>
                <c:pt idx="4">
                  <c:v>100749.20000000003</c:v>
                </c:pt>
                <c:pt idx="5">
                  <c:v>32176.69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A-4E36-AD64-2C6EA2163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860303"/>
        <c:axId val="742862703"/>
      </c:lineChart>
      <c:catAx>
        <c:axId val="74286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62703"/>
        <c:crosses val="autoZero"/>
        <c:auto val="1"/>
        <c:lblAlgn val="ctr"/>
        <c:lblOffset val="100"/>
        <c:noMultiLvlLbl val="0"/>
      </c:catAx>
      <c:valAx>
        <c:axId val="7428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6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 événements (CA)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DASH_direction!$F$23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DASH_direction!$E$24:$E$34</c:f>
              <c:strCache>
                <c:ptCount val="10"/>
                <c:pt idx="0">
                  <c:v>Danse — Session 18</c:v>
                </c:pt>
                <c:pt idx="1">
                  <c:v>Théâtre — Session 2</c:v>
                </c:pt>
                <c:pt idx="2">
                  <c:v>Projection — Session 5</c:v>
                </c:pt>
                <c:pt idx="3">
                  <c:v>Conférence — Session 1</c:v>
                </c:pt>
                <c:pt idx="4">
                  <c:v>Stand-up — Session 7</c:v>
                </c:pt>
                <c:pt idx="5">
                  <c:v>Conférence — Session 20</c:v>
                </c:pt>
                <c:pt idx="6">
                  <c:v>Danse — Session 13</c:v>
                </c:pt>
                <c:pt idx="7">
                  <c:v>Danse — Session 11</c:v>
                </c:pt>
                <c:pt idx="8">
                  <c:v>Danse — Session 24</c:v>
                </c:pt>
                <c:pt idx="9">
                  <c:v>Projection — Session 16</c:v>
                </c:pt>
              </c:strCache>
            </c:strRef>
          </c:cat>
          <c:val>
            <c:numRef>
              <c:f>DASH_direction!$F$24:$F$34</c:f>
              <c:numCache>
                <c:formatCode>#\ ##0.00\ "€"</c:formatCode>
                <c:ptCount val="10"/>
                <c:pt idx="0">
                  <c:v>60938.65</c:v>
                </c:pt>
                <c:pt idx="1">
                  <c:v>27654.45</c:v>
                </c:pt>
                <c:pt idx="2">
                  <c:v>23478.3</c:v>
                </c:pt>
                <c:pt idx="3">
                  <c:v>21645.67</c:v>
                </c:pt>
                <c:pt idx="4">
                  <c:v>18073.07</c:v>
                </c:pt>
                <c:pt idx="5">
                  <c:v>14553.74</c:v>
                </c:pt>
                <c:pt idx="6">
                  <c:v>13238.34</c:v>
                </c:pt>
                <c:pt idx="7">
                  <c:v>10505.24</c:v>
                </c:pt>
                <c:pt idx="8">
                  <c:v>10016.74</c:v>
                </c:pt>
                <c:pt idx="9">
                  <c:v>8999.5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D-43D4-BC35-DB51ED8E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2872783"/>
        <c:axId val="742887183"/>
      </c:barChart>
      <c:catAx>
        <c:axId val="74287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87183"/>
        <c:crosses val="autoZero"/>
        <c:auto val="1"/>
        <c:lblAlgn val="ctr"/>
        <c:lblOffset val="100"/>
        <c:noMultiLvlLbl val="0"/>
      </c:catAx>
      <c:valAx>
        <c:axId val="74288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872783"/>
        <c:crosses val="autoZero"/>
        <c:crossBetween val="between"/>
        <c:majorUnit val="10000"/>
        <c:min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</a:t>
            </a:r>
            <a:r>
              <a:rPr lang="en-US" baseline="0"/>
              <a:t> par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38227922430776"/>
          <c:y val="0.25865522018081066"/>
          <c:w val="0.74683167791755023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DASH_direction!$J$24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DASH_direction!$I$25:$I$32</c:f>
              <c:strCache>
                <c:ptCount val="7"/>
                <c:pt idx="0">
                  <c:v>Danse</c:v>
                </c:pt>
                <c:pt idx="1">
                  <c:v>Conférence</c:v>
                </c:pt>
                <c:pt idx="2">
                  <c:v>Théâtre</c:v>
                </c:pt>
                <c:pt idx="3">
                  <c:v>Projection</c:v>
                </c:pt>
                <c:pt idx="4">
                  <c:v>Stand-up</c:v>
                </c:pt>
                <c:pt idx="5">
                  <c:v>Concert</c:v>
                </c:pt>
                <c:pt idx="6">
                  <c:v>Festival</c:v>
                </c:pt>
              </c:strCache>
            </c:strRef>
          </c:cat>
          <c:val>
            <c:numRef>
              <c:f>DASH_direction!$J$25:$J$32</c:f>
              <c:numCache>
                <c:formatCode>#\ ##0.00\ "€"</c:formatCode>
                <c:ptCount val="7"/>
                <c:pt idx="0">
                  <c:v>103440.67000000001</c:v>
                </c:pt>
                <c:pt idx="1">
                  <c:v>48073.81</c:v>
                </c:pt>
                <c:pt idx="2">
                  <c:v>46817.880000000005</c:v>
                </c:pt>
                <c:pt idx="3">
                  <c:v>44377.78</c:v>
                </c:pt>
                <c:pt idx="4">
                  <c:v>33058.6</c:v>
                </c:pt>
                <c:pt idx="5">
                  <c:v>17354.93</c:v>
                </c:pt>
                <c:pt idx="6">
                  <c:v>5787.47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6-4939-8ACF-081A13E76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95807"/>
        <c:axId val="697402047"/>
      </c:barChart>
      <c:catAx>
        <c:axId val="6973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2047"/>
        <c:crosses val="autoZero"/>
        <c:auto val="1"/>
        <c:lblAlgn val="ctr"/>
        <c:lblOffset val="100"/>
        <c:noMultiLvlLbl val="0"/>
      </c:catAx>
      <c:valAx>
        <c:axId val="6974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3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[dashboard_billeterie.xlsx]DASH_direction!Tableau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par quartier /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DASH_direction!$B$38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DASH_direction!$A$39:$A$53</c:f>
              <c:strCache>
                <c:ptCount val="14"/>
                <c:pt idx="0">
                  <c:v>Belle de Mai</c:v>
                </c:pt>
                <c:pt idx="1">
                  <c:v>La Joliette</c:v>
                </c:pt>
                <c:pt idx="2">
                  <c:v>La Plaine</c:v>
                </c:pt>
                <c:pt idx="3">
                  <c:v>Vieux-Port</c:v>
                </c:pt>
                <c:pt idx="4">
                  <c:v>Saint-Loup</c:v>
                </c:pt>
                <c:pt idx="5">
                  <c:v>Saint-Barnabé</c:v>
                </c:pt>
                <c:pt idx="6">
                  <c:v>Cours Julien</c:v>
                </c:pt>
                <c:pt idx="7">
                  <c:v>Castellane</c:v>
                </c:pt>
                <c:pt idx="8">
                  <c:v>Pointe Rouge</c:v>
                </c:pt>
                <c:pt idx="9">
                  <c:v>Les Goudes</c:v>
                </c:pt>
                <c:pt idx="10">
                  <c:v>Noailles</c:v>
                </c:pt>
                <c:pt idx="11">
                  <c:v>L’Estaque</c:v>
                </c:pt>
                <c:pt idx="12">
                  <c:v>Endoume</c:v>
                </c:pt>
                <c:pt idx="13">
                  <c:v>Le Panier</c:v>
                </c:pt>
              </c:strCache>
            </c:strRef>
          </c:cat>
          <c:val>
            <c:numRef>
              <c:f>DASH_direction!$B$39:$B$53</c:f>
              <c:numCache>
                <c:formatCode>_("€"* #,##0.00_);_("€"* \(#,##0.00\);_("€"* "-"??_);_(@_)</c:formatCode>
                <c:ptCount val="14"/>
                <c:pt idx="0">
                  <c:v>69848.960000000006</c:v>
                </c:pt>
                <c:pt idx="1">
                  <c:v>39353.5</c:v>
                </c:pt>
                <c:pt idx="2">
                  <c:v>37671.19</c:v>
                </c:pt>
                <c:pt idx="3">
                  <c:v>27433.14</c:v>
                </c:pt>
                <c:pt idx="4">
                  <c:v>23478.3</c:v>
                </c:pt>
                <c:pt idx="5">
                  <c:v>21332.13</c:v>
                </c:pt>
                <c:pt idx="6">
                  <c:v>18073.07</c:v>
                </c:pt>
                <c:pt idx="7">
                  <c:v>14828.09</c:v>
                </c:pt>
                <c:pt idx="8">
                  <c:v>10734.279999999999</c:v>
                </c:pt>
                <c:pt idx="9">
                  <c:v>8741.7000000000007</c:v>
                </c:pt>
                <c:pt idx="10">
                  <c:v>8429.15</c:v>
                </c:pt>
                <c:pt idx="11">
                  <c:v>8378.89</c:v>
                </c:pt>
                <c:pt idx="12">
                  <c:v>6075.22</c:v>
                </c:pt>
                <c:pt idx="13">
                  <c:v>4533.5200000000004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8-4BFC-9F3A-825F3212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7401087"/>
        <c:axId val="697403487"/>
      </c:barChart>
      <c:catAx>
        <c:axId val="69740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3487"/>
        <c:crosses val="autoZero"/>
        <c:auto val="1"/>
        <c:lblAlgn val="ctr"/>
        <c:lblOffset val="100"/>
        <c:noMultiLvlLbl val="0"/>
      </c:catAx>
      <c:valAx>
        <c:axId val="69740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0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- 14 jours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DASH_ops!$N$43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DASH_ops!$M$44:$M$57</c:f>
              <c:numCache>
                <c:formatCode>m/d/yyyy</c:formatCode>
                <c:ptCount val="14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  <c:pt idx="7">
                  <c:v>46194</c:v>
                </c:pt>
                <c:pt idx="8">
                  <c:v>46195</c:v>
                </c:pt>
                <c:pt idx="9">
                  <c:v>46196</c:v>
                </c:pt>
                <c:pt idx="10">
                  <c:v>46197</c:v>
                </c:pt>
                <c:pt idx="11">
                  <c:v>46198</c:v>
                </c:pt>
                <c:pt idx="12">
                  <c:v>46199</c:v>
                </c:pt>
                <c:pt idx="13">
                  <c:v>46200</c:v>
                </c:pt>
              </c:numCache>
            </c:numRef>
          </c:xVal>
          <c:yVal>
            <c:numRef>
              <c:f>DASH_ops!$N$44:$N$57</c:f>
              <c:numCache>
                <c:formatCode>General</c:formatCode>
                <c:ptCount val="14"/>
                <c:pt idx="0">
                  <c:v>4591.32</c:v>
                </c:pt>
                <c:pt idx="1">
                  <c:v>708.61</c:v>
                </c:pt>
                <c:pt idx="2">
                  <c:v>487.08</c:v>
                </c:pt>
                <c:pt idx="3">
                  <c:v>421.84</c:v>
                </c:pt>
                <c:pt idx="4">
                  <c:v>1206.56</c:v>
                </c:pt>
                <c:pt idx="5">
                  <c:v>361.87</c:v>
                </c:pt>
                <c:pt idx="6">
                  <c:v>709.31999999999903</c:v>
                </c:pt>
                <c:pt idx="7">
                  <c:v>270.64</c:v>
                </c:pt>
                <c:pt idx="8">
                  <c:v>591.9</c:v>
                </c:pt>
                <c:pt idx="9">
                  <c:v>387.04</c:v>
                </c:pt>
                <c:pt idx="10">
                  <c:v>566.87</c:v>
                </c:pt>
                <c:pt idx="11">
                  <c:v>785.06</c:v>
                </c:pt>
                <c:pt idx="12">
                  <c:v>217.6</c:v>
                </c:pt>
                <c:pt idx="13">
                  <c:v>1223.3499999999999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A-4D06-A1CE-FA3F9218C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900623"/>
        <c:axId val="742901103"/>
      </c:scatterChart>
      <c:valAx>
        <c:axId val="7429006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901103"/>
        <c:crosses val="autoZero"/>
        <c:crossBetween val="midCat"/>
      </c:valAx>
      <c:valAx>
        <c:axId val="7429011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90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520699</xdr:colOff>
      <xdr:row>9</xdr:row>
      <xdr:rowOff>150811</xdr:rowOff>
    </xdr:from>
    <xdr:to>
      <xdr:col>15</xdr:col>
      <xdr:colOff>314324</xdr:colOff>
      <xdr:row>28</xdr:row>
      <xdr:rowOff>152399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EF90AB4-500D-FA93-8A36-411F773A5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10</xdr:row>
      <xdr:rowOff>141287</xdr:rowOff>
    </xdr:from>
    <xdr:to>
      <xdr:col>15</xdr:col>
      <xdr:colOff>19050</xdr:colOff>
      <xdr:row>31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1E3B02-D0A7-3AFD-907F-288076D7B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233643</xdr:colOff>
      <xdr:row>21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71AA0C-71BE-7713-E6BC-BCB098C7E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595791</xdr:colOff>
      <xdr:row>6</xdr:row>
      <xdr:rowOff>166407</xdr:rowOff>
    </xdr:from>
    <xdr:to>
      <xdr:col>7</xdr:col>
      <xdr:colOff>294554</xdr:colOff>
      <xdr:row>21</xdr:row>
      <xdr:rowOff>51426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1FF5B7-2857-6347-A4BF-4AF6556D0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579504</xdr:colOff>
      <xdr:row>6</xdr:row>
      <xdr:rowOff>170008</xdr:rowOff>
    </xdr:from>
    <xdr:to>
      <xdr:col>11</xdr:col>
      <xdr:colOff>248932</xdr:colOff>
      <xdr:row>21</xdr:row>
      <xdr:rowOff>55708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59736B2-0FB0-5064-B977-81D64E8DE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39219</xdr:colOff>
      <xdr:row>37</xdr:row>
      <xdr:rowOff>68355</xdr:rowOff>
    </xdr:from>
    <xdr:to>
      <xdr:col>8</xdr:col>
      <xdr:colOff>268940</xdr:colOff>
      <xdr:row>52</xdr:row>
      <xdr:rowOff>112058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68125C3-07D7-7764-1ABA-ADE5EE616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4</xdr:row>
      <xdr:rowOff>123825</xdr:rowOff>
    </xdr:from>
    <xdr:to>
      <xdr:col>5</xdr:col>
      <xdr:colOff>525346</xdr:colOff>
      <xdr:row>19</xdr:row>
      <xdr:rowOff>67468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0960FA-24AC-4CD4-8279-2D2D16495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161924</xdr:colOff>
      <xdr:row>4</xdr:row>
      <xdr:rowOff>171450</xdr:rowOff>
    </xdr:from>
    <xdr:to>
      <xdr:col>12</xdr:col>
      <xdr:colOff>857249</xdr:colOff>
      <xdr:row>19</xdr:row>
      <xdr:rowOff>26703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34AB1B0-EED2-4E9E-B655-FAF237B1D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390525</xdr:colOff>
      <xdr:row>20</xdr:row>
      <xdr:rowOff>114300</xdr:rowOff>
    </xdr:from>
    <xdr:to>
      <xdr:col>5</xdr:col>
      <xdr:colOff>502468</xdr:colOff>
      <xdr:row>35</xdr:row>
      <xdr:rowOff>46434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5099E3E-73CE-4658-ABAD-EB3767D43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142876</xdr:colOff>
      <xdr:row>20</xdr:row>
      <xdr:rowOff>114300</xdr:rowOff>
    </xdr:from>
    <xdr:to>
      <xdr:col>12</xdr:col>
      <xdr:colOff>857250</xdr:colOff>
      <xdr:row>35</xdr:row>
      <xdr:rowOff>128237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DB0E199-29B9-4E7B-A1A7-B3FC46B08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523719</xdr:colOff>
      <xdr:row>41</xdr:row>
      <xdr:rowOff>345127</xdr:rowOff>
    </xdr:from>
    <xdr:to>
      <xdr:col>8</xdr:col>
      <xdr:colOff>1607343</xdr:colOff>
      <xdr:row>51</xdr:row>
      <xdr:rowOff>13607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948A01-3A76-A525-3D3F-06E7F7F8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e Gay" refreshedDate="46050.427049305552" createdVersion="8" refreshedVersion="8" minRefreshableVersion="3" recordCount="164" xr:uid="{844B8006-2F17-47C6-918C-B82436902CC0}">
  <cacheSource type="worksheet">
    <worksheetSource name="DATA_kpi_daily"/>
  </cacheSource>
  <cacheFields count="8">
    <cacheField name="purchase_day" numFmtId="14">
      <sharedItems containsSemiMixedTypes="0" containsNonDate="0" containsDate="1" containsString="0" minDate="2025-01-07T00:00:00" maxDate="2025-06-28T00:00:00" count="164">
        <d v="2025-01-07T00:00:00"/>
        <d v="2025-01-09T00:00:00"/>
        <d v="2025-01-14T00:00:00"/>
        <d v="2025-01-15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</sharedItems>
      <fieldGroup par="7"/>
    </cacheField>
    <cacheField name="tickets_sold" numFmtId="0">
      <sharedItems containsSemiMixedTypes="0" containsString="0" containsNumber="1" containsInteger="1" minValue="1" maxValue="513"/>
    </cacheField>
    <cacheField name="revenue" numFmtId="2">
      <sharedItems containsSemiMixedTypes="0" containsString="0" containsNumber="1" minValue="0" maxValue="11636.73"/>
    </cacheField>
    <cacheField name="avg_basket" numFmtId="0">
      <sharedItems containsSemiMixedTypes="0" containsString="0" containsNumber="1" minValue="0" maxValue="48.4443795620438"/>
    </cacheField>
    <cacheField name="avg_lead_time" numFmtId="0">
      <sharedItems containsSemiMixedTypes="0" containsString="0" containsNumber="1" minValue="0.21538461538461501" maxValue="62"/>
    </cacheField>
    <cacheField name="tx_count" numFmtId="0">
      <sharedItems containsSemiMixedTypes="0" containsString="0" containsNumber="1" containsInteger="1" minValue="1" maxValue="296"/>
    </cacheField>
    <cacheField name="Jours (purchase_day)" numFmtId="0" databaseField="0">
      <fieldGroup base="0">
        <rangePr groupBy="days" startDate="2025-01-07T00:00:00" endDate="2025-06-28T00:00:00"/>
        <groupItems count="368">
          <s v="&lt;07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28/06/2025"/>
        </groupItems>
      </fieldGroup>
    </cacheField>
    <cacheField name="Mois (purchase_day)" numFmtId="0" databaseField="0">
      <fieldGroup base="0">
        <rangePr groupBy="months" startDate="2025-01-07T00:00:00" endDate="2025-06-28T00:00:00"/>
        <groupItems count="14">
          <s v="&lt;07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8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e Gay" refreshedDate="46066.467339120369" createdVersion="8" refreshedVersion="8" minRefreshableVersion="3" recordCount="24" xr:uid="{5A50E882-9622-4C5C-840D-14AF4B4FAE38}">
  <cacheSource type="worksheet">
    <worksheetSource name="DATA_kpi_event"/>
  </cacheSource>
  <cacheFields count="13">
    <cacheField name="event_id" numFmtId="0">
      <sharedItems/>
    </cacheField>
    <cacheField name="tickets_sold" numFmtId="0">
      <sharedItems containsSemiMixedTypes="0" containsString="0" containsNumber="1" containsInteger="1" minValue="146" maxValue="2509"/>
    </cacheField>
    <cacheField name="revenue" numFmtId="0">
      <sharedItems containsSemiMixedTypes="0" containsString="0" containsNumber="1" minValue="4194.96" maxValue="60938.65"/>
    </cacheField>
    <cacheField name="avg_basket" numFmtId="0">
      <sharedItems containsSemiMixedTypes="0" containsString="0" containsNumber="1" minValue="17.6711740041928" maxValue="68.087882352941094"/>
    </cacheField>
    <cacheField name="first_purchase" numFmtId="14">
      <sharedItems containsSemiMixedTypes="0" containsNonDate="0" containsDate="1" containsString="0" minDate="2025-01-07T16:40:00" maxDate="2025-05-03T16:00:00"/>
    </cacheField>
    <cacheField name="last_purchase" numFmtId="14">
      <sharedItems containsSemiMixedTypes="0" containsNonDate="0" containsDate="1" containsString="0" minDate="2025-03-06T17:00:00" maxDate="2025-06-27T18:00:00"/>
    </cacheField>
    <cacheField name="no_show_rate" numFmtId="0">
      <sharedItems containsSemiMixedTypes="0" containsString="0" containsNumber="1" minValue="6.4814814814814797E-2" maxValue="0.129411764705882"/>
    </cacheField>
    <cacheField name="event_name" numFmtId="0">
      <sharedItems count="24">
        <s v="Conférence — Session 1"/>
        <s v="Théâtre — Session 2"/>
        <s v="Projection — Session 3"/>
        <s v="Théâtre — Session 4"/>
        <s v="Projection — Session 5"/>
        <s v="Festival — Session 6"/>
        <s v="Stand-up — Session 7"/>
        <s v="Concert — Session 8"/>
        <s v="Danse — Session 9"/>
        <s v="Projection — Session 10"/>
        <s v="Danse — Session 11"/>
        <s v="Concert — Session 12"/>
        <s v="Danse — Session 13"/>
        <s v="Conférence — Session 14"/>
        <s v="Théâtre — Session 15"/>
        <s v="Projection — Session 16"/>
        <s v="Stand-up — Session 17"/>
        <s v="Danse — Session 18"/>
        <s v="Concert — Session 19"/>
        <s v="Conférence — Session 20"/>
        <s v="Stand-up — Session 21"/>
        <s v="Conférence — Session 22"/>
        <s v="Théâtre — Session 23"/>
        <s v="Danse — Session 24"/>
      </sharedItems>
    </cacheField>
    <cacheField name="venue_name" numFmtId="0">
      <sharedItems/>
    </cacheField>
    <cacheField name="event_datetime" numFmtId="14">
      <sharedItems containsSemiMixedTypes="0" containsNonDate="0" containsDate="1" containsString="0" minDate="2026-03-06T18:00:00" maxDate="2026-06-27T19:00:00"/>
    </cacheField>
    <cacheField name="capacity" numFmtId="0">
      <sharedItems containsSemiMixedTypes="0" containsString="0" containsNumber="1" containsInteger="1" minValue="150" maxValue="2000"/>
    </cacheField>
    <cacheField name="fill_rate" numFmtId="0">
      <sharedItems containsSemiMixedTypes="0" containsString="0" containsNumber="1" minValue="0.42" maxValue="0.9325"/>
    </cacheField>
    <cacheField name="genre" numFmtId="0">
      <sharedItems count="7">
        <s v="Conférence"/>
        <s v="Théâtre"/>
        <s v="Projection"/>
        <s v="Festival"/>
        <s v="Stand-up"/>
        <s v="Concert"/>
        <s v="Dan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e Gay" refreshedDate="46066.498159722221" createdVersion="8" refreshedVersion="8" minRefreshableVersion="3" recordCount="24" xr:uid="{CD2A8C45-3212-440C-956B-D943C7D2CFEA}">
  <cacheSource type="worksheet">
    <worksheetSource name="Tableau7"/>
  </cacheSource>
  <cacheFields count="3">
    <cacheField name="event_id" numFmtId="0">
      <sharedItems/>
    </cacheField>
    <cacheField name="quartier_zone" numFmtId="0">
      <sharedItems count="14">
        <s v="Le Panier"/>
        <s v="Les Goudes"/>
        <s v="Belle de Mai"/>
        <s v="L’Estaque"/>
        <s v="La Joliette"/>
        <s v="La Plaine"/>
        <s v="Vieux-Port"/>
        <s v="Saint-Barnabé"/>
        <s v="Cours Julien"/>
        <s v="Castellane"/>
        <s v="Saint-Loup"/>
        <s v="Pointe Rouge"/>
        <s v="Endoume"/>
        <s v="Noailles"/>
      </sharedItems>
    </cacheField>
    <cacheField name="revenue" numFmtId="44">
      <sharedItems containsSemiMixedTypes="0" containsString="0" containsNumber="1" minValue="4194.96" maxValue="60938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x v="0"/>
    <n v="1"/>
    <n v="15.81"/>
    <n v="15.81"/>
    <n v="62"/>
    <n v="1"/>
  </r>
  <r>
    <x v="1"/>
    <n v="1"/>
    <n v="11.89"/>
    <n v="11.89"/>
    <n v="57"/>
    <n v="1"/>
  </r>
  <r>
    <x v="2"/>
    <n v="3"/>
    <n v="11.96"/>
    <n v="5.98"/>
    <n v="54.5"/>
    <n v="2"/>
  </r>
  <r>
    <x v="3"/>
    <n v="5"/>
    <n v="63.31"/>
    <n v="21.1033333333333"/>
    <n v="55.3333333333333"/>
    <n v="3"/>
  </r>
  <r>
    <x v="4"/>
    <n v="1"/>
    <n v="12.01"/>
    <n v="12.01"/>
    <n v="58"/>
    <n v="1"/>
  </r>
  <r>
    <x v="5"/>
    <n v="1"/>
    <n v="15.78"/>
    <n v="15.78"/>
    <n v="50"/>
    <n v="1"/>
  </r>
  <r>
    <x v="6"/>
    <n v="6"/>
    <n v="73.41"/>
    <n v="24.47"/>
    <n v="49.3333333333333"/>
    <n v="3"/>
  </r>
  <r>
    <x v="7"/>
    <n v="1"/>
    <n v="0"/>
    <n v="0"/>
    <n v="50"/>
    <n v="1"/>
  </r>
  <r>
    <x v="8"/>
    <n v="12"/>
    <n v="203.28"/>
    <n v="29.04"/>
    <n v="47"/>
    <n v="7"/>
  </r>
  <r>
    <x v="9"/>
    <n v="6"/>
    <n v="158.35"/>
    <n v="39.587499999999999"/>
    <n v="49.75"/>
    <n v="4"/>
  </r>
  <r>
    <x v="10"/>
    <n v="9"/>
    <n v="135.15"/>
    <n v="19.3071428571428"/>
    <n v="44.428571428571402"/>
    <n v="7"/>
  </r>
  <r>
    <x v="11"/>
    <n v="3"/>
    <n v="67.62"/>
    <n v="33.81"/>
    <n v="44"/>
    <n v="2"/>
  </r>
  <r>
    <x v="12"/>
    <n v="3"/>
    <n v="38.32"/>
    <n v="19.16"/>
    <n v="44"/>
    <n v="2"/>
  </r>
  <r>
    <x v="13"/>
    <n v="9"/>
    <n v="105.61"/>
    <n v="21.122"/>
    <n v="45.2"/>
    <n v="5"/>
  </r>
  <r>
    <x v="14"/>
    <n v="17"/>
    <n v="251.63"/>
    <n v="25.163"/>
    <n v="43.9"/>
    <n v="10"/>
  </r>
  <r>
    <x v="15"/>
    <n v="5"/>
    <n v="96.12"/>
    <n v="24.03"/>
    <n v="40.5"/>
    <n v="4"/>
  </r>
  <r>
    <x v="16"/>
    <n v="20"/>
    <n v="353.54"/>
    <n v="32.14"/>
    <n v="40.363636363636303"/>
    <n v="11"/>
  </r>
  <r>
    <x v="17"/>
    <n v="12"/>
    <n v="150.97"/>
    <n v="18.87125"/>
    <n v="40.25"/>
    <n v="8"/>
  </r>
  <r>
    <x v="18"/>
    <n v="9"/>
    <n v="188.78"/>
    <n v="37.756"/>
    <n v="44.6"/>
    <n v="5"/>
  </r>
  <r>
    <x v="19"/>
    <n v="11"/>
    <n v="185.8"/>
    <n v="26.542857142857098"/>
    <n v="35.857142857142797"/>
    <n v="7"/>
  </r>
  <r>
    <x v="20"/>
    <n v="30"/>
    <n v="382.52"/>
    <n v="23.907499999999999"/>
    <n v="37.9375"/>
    <n v="16"/>
  </r>
  <r>
    <x v="21"/>
    <n v="10"/>
    <n v="236.52"/>
    <n v="33.788571428571402"/>
    <n v="39.142857142857103"/>
    <n v="7"/>
  </r>
  <r>
    <x v="22"/>
    <n v="20"/>
    <n v="352.15"/>
    <n v="23.476666666666599"/>
    <n v="36.066666666666599"/>
    <n v="15"/>
  </r>
  <r>
    <x v="23"/>
    <n v="12"/>
    <n v="161.05000000000001"/>
    <n v="16.105"/>
    <n v="34.200000000000003"/>
    <n v="10"/>
  </r>
  <r>
    <x v="24"/>
    <n v="24"/>
    <n v="412.87"/>
    <n v="25.804375"/>
    <n v="30.875"/>
    <n v="16"/>
  </r>
  <r>
    <x v="25"/>
    <n v="24"/>
    <n v="382.49"/>
    <n v="29.422307692307601"/>
    <n v="31.692307692307601"/>
    <n v="13"/>
  </r>
  <r>
    <x v="26"/>
    <n v="39"/>
    <n v="689.7"/>
    <n v="40.570588235294103"/>
    <n v="33.529411764705799"/>
    <n v="17"/>
  </r>
  <r>
    <x v="27"/>
    <n v="33"/>
    <n v="716.46"/>
    <n v="31.150434782608698"/>
    <n v="31.695652173913"/>
    <n v="23"/>
  </r>
  <r>
    <x v="28"/>
    <n v="37"/>
    <n v="725.7"/>
    <n v="38.1947368421052"/>
    <n v="29.052631578947299"/>
    <n v="19"/>
  </r>
  <r>
    <x v="29"/>
    <n v="44"/>
    <n v="690.65"/>
    <n v="27.626000000000001"/>
    <n v="31.12"/>
    <n v="25"/>
  </r>
  <r>
    <x v="30"/>
    <n v="42"/>
    <n v="779.98"/>
    <n v="32.499166666666603"/>
    <n v="30.0416666666666"/>
    <n v="24"/>
  </r>
  <r>
    <x v="31"/>
    <n v="24"/>
    <n v="446.57"/>
    <n v="23.503684210526298"/>
    <n v="25.947368421052602"/>
    <n v="19"/>
  </r>
  <r>
    <x v="32"/>
    <n v="49"/>
    <n v="856.51"/>
    <n v="28.550333333333299"/>
    <n v="24.266666666666602"/>
    <n v="30"/>
  </r>
  <r>
    <x v="33"/>
    <n v="32"/>
    <n v="612.15"/>
    <n v="30.607500000000002"/>
    <n v="24.65"/>
    <n v="20"/>
  </r>
  <r>
    <x v="34"/>
    <n v="65"/>
    <n v="1028.1600000000001"/>
    <n v="29.376000000000001"/>
    <n v="23.514285714285698"/>
    <n v="35"/>
  </r>
  <r>
    <x v="35"/>
    <n v="58"/>
    <n v="959.04"/>
    <n v="26.64"/>
    <n v="23.2777777777777"/>
    <n v="36"/>
  </r>
  <r>
    <x v="36"/>
    <n v="52"/>
    <n v="898.5"/>
    <n v="27.227272727272702"/>
    <n v="24.2424242424242"/>
    <n v="33"/>
  </r>
  <r>
    <x v="37"/>
    <n v="79"/>
    <n v="1635.14"/>
    <n v="34.0654166666666"/>
    <n v="23.8125"/>
    <n v="48"/>
  </r>
  <r>
    <x v="38"/>
    <n v="67"/>
    <n v="1224.04"/>
    <n v="33.082162162162099"/>
    <n v="23.378378378378301"/>
    <n v="37"/>
  </r>
  <r>
    <x v="39"/>
    <n v="64"/>
    <n v="1183.67"/>
    <n v="36.989687500000002"/>
    <n v="22.65625"/>
    <n v="32"/>
  </r>
  <r>
    <x v="40"/>
    <n v="84"/>
    <n v="1401.74"/>
    <n v="26.447924528301801"/>
    <n v="20.792452830188601"/>
    <n v="53"/>
  </r>
  <r>
    <x v="41"/>
    <n v="86"/>
    <n v="1474.39"/>
    <n v="27.818679245283001"/>
    <n v="20.6037735849056"/>
    <n v="53"/>
  </r>
  <r>
    <x v="42"/>
    <n v="79"/>
    <n v="1728.59"/>
    <n v="39.286136363636302"/>
    <n v="18.113636363636299"/>
    <n v="44"/>
  </r>
  <r>
    <x v="43"/>
    <n v="90"/>
    <n v="1526.21"/>
    <n v="31.7960416666666"/>
    <n v="19.9375"/>
    <n v="48"/>
  </r>
  <r>
    <x v="44"/>
    <n v="83"/>
    <n v="1631.8"/>
    <n v="31.3807692307692"/>
    <n v="17.384615384615302"/>
    <n v="52"/>
  </r>
  <r>
    <x v="45"/>
    <n v="96"/>
    <n v="1748.14"/>
    <n v="34.277254901960703"/>
    <n v="18.745098039215598"/>
    <n v="51"/>
  </r>
  <r>
    <x v="46"/>
    <n v="110"/>
    <n v="1851.65"/>
    <n v="34.289814814814797"/>
    <n v="16.6111111111111"/>
    <n v="54"/>
  </r>
  <r>
    <x v="47"/>
    <n v="92"/>
    <n v="1480.02"/>
    <n v="27.407777777777699"/>
    <n v="17.870370370370299"/>
    <n v="54"/>
  </r>
  <r>
    <x v="48"/>
    <n v="85"/>
    <n v="1465.7"/>
    <n v="30.535416666666599"/>
    <n v="17.5"/>
    <n v="48"/>
  </r>
  <r>
    <x v="49"/>
    <n v="98"/>
    <n v="1600.88"/>
    <n v="25.820645161290301"/>
    <n v="18.0322580645161"/>
    <n v="62"/>
  </r>
  <r>
    <x v="50"/>
    <n v="139"/>
    <n v="2376.04"/>
    <n v="29.333827160493801"/>
    <n v="11.925925925925901"/>
    <n v="81"/>
  </r>
  <r>
    <x v="51"/>
    <n v="92"/>
    <n v="1750.47"/>
    <n v="32.4161111111111"/>
    <n v="16.907407407407401"/>
    <n v="54"/>
  </r>
  <r>
    <x v="52"/>
    <n v="88"/>
    <n v="1846.4"/>
    <n v="36.203921568627401"/>
    <n v="17.156862745098"/>
    <n v="51"/>
  </r>
  <r>
    <x v="53"/>
    <n v="148"/>
    <n v="2843.36"/>
    <n v="35.542000000000002"/>
    <n v="11.0875"/>
    <n v="80"/>
  </r>
  <r>
    <x v="54"/>
    <n v="89"/>
    <n v="1668.93"/>
    <n v="32.724117647058797"/>
    <n v="15.9411764705882"/>
    <n v="51"/>
  </r>
  <r>
    <x v="55"/>
    <n v="95"/>
    <n v="2240.52"/>
    <n v="36.7298360655737"/>
    <n v="17.262295081967199"/>
    <n v="61"/>
  </r>
  <r>
    <x v="56"/>
    <n v="87"/>
    <n v="1559.1"/>
    <n v="29.416981132075399"/>
    <n v="20.4905660377358"/>
    <n v="53"/>
  </r>
  <r>
    <x v="57"/>
    <n v="80"/>
    <n v="1354.1"/>
    <n v="29.436956521739098"/>
    <n v="16.9130434782608"/>
    <n v="46"/>
  </r>
  <r>
    <x v="58"/>
    <n v="104"/>
    <n v="1889.81"/>
    <n v="32.582931034482698"/>
    <n v="18.241379310344801"/>
    <n v="58"/>
  </r>
  <r>
    <x v="59"/>
    <n v="126"/>
    <n v="2049.33"/>
    <n v="29.276142857142801"/>
    <n v="15.4428571428571"/>
    <n v="70"/>
  </r>
  <r>
    <x v="60"/>
    <n v="230"/>
    <n v="3769.76"/>
    <n v="29.6831496062992"/>
    <n v="7.9527559055118102"/>
    <n v="127"/>
  </r>
  <r>
    <x v="61"/>
    <n v="89"/>
    <n v="1614.57"/>
    <n v="30.463584905660301"/>
    <n v="22.6603773584905"/>
    <n v="53"/>
  </r>
  <r>
    <x v="62"/>
    <n v="91"/>
    <n v="1451.35"/>
    <n v="32.252222222222201"/>
    <n v="18.733333333333299"/>
    <n v="45"/>
  </r>
  <r>
    <x v="63"/>
    <n v="99"/>
    <n v="1481.75"/>
    <n v="24.290983606557301"/>
    <n v="15.9344262295081"/>
    <n v="61"/>
  </r>
  <r>
    <x v="64"/>
    <n v="77"/>
    <n v="1312.87"/>
    <n v="27.9334042553191"/>
    <n v="19.212765957446798"/>
    <n v="47"/>
  </r>
  <r>
    <x v="65"/>
    <n v="108"/>
    <n v="1822.81"/>
    <n v="29.8821311475409"/>
    <n v="22.655737704918"/>
    <n v="61"/>
  </r>
  <r>
    <x v="66"/>
    <n v="98"/>
    <n v="1595.74"/>
    <n v="31.9148"/>
    <n v="21.12"/>
    <n v="50"/>
  </r>
  <r>
    <x v="67"/>
    <n v="103"/>
    <n v="1534.86"/>
    <n v="22.571470588235201"/>
    <n v="20.029411764705799"/>
    <n v="68"/>
  </r>
  <r>
    <x v="68"/>
    <n v="126"/>
    <n v="2131.81"/>
    <n v="31.350147058823499"/>
    <n v="17.058823529411701"/>
    <n v="68"/>
  </r>
  <r>
    <x v="69"/>
    <n v="85"/>
    <n v="1459.63"/>
    <n v="27.540188679245201"/>
    <n v="19.0566037735849"/>
    <n v="53"/>
  </r>
  <r>
    <x v="70"/>
    <n v="89"/>
    <n v="1584.62"/>
    <n v="29.3448148148148"/>
    <n v="18.407407407407401"/>
    <n v="54"/>
  </r>
  <r>
    <x v="71"/>
    <n v="110"/>
    <n v="1958.59"/>
    <n v="30.602968749999999"/>
    <n v="16.875"/>
    <n v="64"/>
  </r>
  <r>
    <x v="72"/>
    <n v="127"/>
    <n v="2431.84"/>
    <n v="31.582337662337601"/>
    <n v="16.662337662337599"/>
    <n v="77"/>
  </r>
  <r>
    <x v="73"/>
    <n v="106"/>
    <n v="1918.23"/>
    <n v="29.5112307692307"/>
    <n v="16.769230769230699"/>
    <n v="65"/>
  </r>
  <r>
    <x v="74"/>
    <n v="214"/>
    <n v="4202.04"/>
    <n v="35.6105084745762"/>
    <n v="11.364406779661"/>
    <n v="118"/>
  </r>
  <r>
    <x v="75"/>
    <n v="108"/>
    <n v="1924.99"/>
    <n v="29.1665151515151"/>
    <n v="18.090909090909001"/>
    <n v="66"/>
  </r>
  <r>
    <x v="76"/>
    <n v="92"/>
    <n v="1889.04"/>
    <n v="30.967868852458999"/>
    <n v="12.8524590163934"/>
    <n v="61"/>
  </r>
  <r>
    <x v="77"/>
    <n v="96"/>
    <n v="1673"/>
    <n v="34.142857142857103"/>
    <n v="17.755102040816301"/>
    <n v="49"/>
  </r>
  <r>
    <x v="78"/>
    <n v="123"/>
    <n v="2063.8000000000002"/>
    <n v="29.067605633802799"/>
    <n v="17.9295774647887"/>
    <n v="71"/>
  </r>
  <r>
    <x v="79"/>
    <n v="108"/>
    <n v="1815.87"/>
    <n v="28.372968749999998"/>
    <n v="18.40625"/>
    <n v="64"/>
  </r>
  <r>
    <x v="80"/>
    <n v="114"/>
    <n v="2331.1"/>
    <n v="34.280882352941099"/>
    <n v="18.411764705882302"/>
    <n v="68"/>
  </r>
  <r>
    <x v="81"/>
    <n v="119"/>
    <n v="2537.48"/>
    <n v="35.739154929577403"/>
    <n v="18.5352112676056"/>
    <n v="71"/>
  </r>
  <r>
    <x v="82"/>
    <n v="271"/>
    <n v="4536.6499999999996"/>
    <n v="30.244333333333302"/>
    <n v="7.6933333333333298"/>
    <n v="150"/>
  </r>
  <r>
    <x v="83"/>
    <n v="116"/>
    <n v="2302.34"/>
    <n v="35.420615384615303"/>
    <n v="17.723076923076899"/>
    <n v="65"/>
  </r>
  <r>
    <x v="84"/>
    <n v="114"/>
    <n v="2050.69"/>
    <n v="31.071060606060598"/>
    <n v="15.484848484848399"/>
    <n v="66"/>
  </r>
  <r>
    <x v="85"/>
    <n v="116"/>
    <n v="2478.54"/>
    <n v="36.449117647058799"/>
    <n v="16.764705882352899"/>
    <n v="68"/>
  </r>
  <r>
    <x v="86"/>
    <n v="274"/>
    <n v="4685.55"/>
    <n v="27.725147928994001"/>
    <n v="7.9230769230769198"/>
    <n v="169"/>
  </r>
  <r>
    <x v="87"/>
    <n v="90"/>
    <n v="1852.4"/>
    <n v="43.079069767441801"/>
    <n v="26.232558139534799"/>
    <n v="43"/>
  </r>
  <r>
    <x v="88"/>
    <n v="97"/>
    <n v="2148.62"/>
    <n v="42.129803921568602"/>
    <n v="26.411764705882302"/>
    <n v="51"/>
  </r>
  <r>
    <x v="89"/>
    <n v="74"/>
    <n v="1979.27"/>
    <n v="41.234791666666602"/>
    <n v="22.1666666666666"/>
    <n v="48"/>
  </r>
  <r>
    <x v="90"/>
    <n v="85"/>
    <n v="2193.85"/>
    <n v="43.016666666666602"/>
    <n v="20.6078431372549"/>
    <n v="51"/>
  </r>
  <r>
    <x v="91"/>
    <n v="90"/>
    <n v="1969.59"/>
    <n v="41.9061702127659"/>
    <n v="22.085106382978701"/>
    <n v="47"/>
  </r>
  <r>
    <x v="92"/>
    <n v="112"/>
    <n v="2652.63"/>
    <n v="40.809692307692302"/>
    <n v="23.338461538461502"/>
    <n v="65"/>
  </r>
  <r>
    <x v="93"/>
    <n v="114"/>
    <n v="2778.47"/>
    <n v="42.745692307692302"/>
    <n v="21.2615384615384"/>
    <n v="65"/>
  </r>
  <r>
    <x v="94"/>
    <n v="91"/>
    <n v="2180.4"/>
    <n v="39.643636363636297"/>
    <n v="24.272727272727199"/>
    <n v="55"/>
  </r>
  <r>
    <x v="95"/>
    <n v="96"/>
    <n v="2447.56"/>
    <n v="45.325185185185099"/>
    <n v="16.4444444444444"/>
    <n v="54"/>
  </r>
  <r>
    <x v="96"/>
    <n v="135"/>
    <n v="3334.71"/>
    <n v="42.7526923076923"/>
    <n v="20.179487179487101"/>
    <n v="78"/>
  </r>
  <r>
    <x v="97"/>
    <n v="140"/>
    <n v="3455.93"/>
    <n v="42.145487804878002"/>
    <n v="17.951219512195099"/>
    <n v="82"/>
  </r>
  <r>
    <x v="98"/>
    <n v="252"/>
    <n v="6636.88"/>
    <n v="48.4443795620438"/>
    <n v="11.8540145985401"/>
    <n v="137"/>
  </r>
  <r>
    <x v="99"/>
    <n v="85"/>
    <n v="1755.18"/>
    <n v="38.156086956521698"/>
    <n v="25.260869565217298"/>
    <n v="46"/>
  </r>
  <r>
    <x v="100"/>
    <n v="122"/>
    <n v="2642.51"/>
    <n v="37.750142857142798"/>
    <n v="24.514285714285698"/>
    <n v="70"/>
  </r>
  <r>
    <x v="101"/>
    <n v="124"/>
    <n v="2577.12"/>
    <n v="33.469090909090902"/>
    <n v="21.948051948051901"/>
    <n v="77"/>
  </r>
  <r>
    <x v="102"/>
    <n v="150"/>
    <n v="3018.63"/>
    <n v="34.696896551724102"/>
    <n v="21.459770114942501"/>
    <n v="87"/>
  </r>
  <r>
    <x v="103"/>
    <n v="144"/>
    <n v="3201.6"/>
    <n v="36.799999999999997"/>
    <n v="20.965517241379299"/>
    <n v="87"/>
  </r>
  <r>
    <x v="104"/>
    <n v="137"/>
    <n v="2996.45"/>
    <n v="37.455624999999998"/>
    <n v="21.1875"/>
    <n v="80"/>
  </r>
  <r>
    <x v="105"/>
    <n v="176"/>
    <n v="3603.54"/>
    <n v="37.536875000000002"/>
    <n v="21.0208333333333"/>
    <n v="96"/>
  </r>
  <r>
    <x v="106"/>
    <n v="175"/>
    <n v="2946.5"/>
    <n v="27.53738317757"/>
    <n v="14.6635514018691"/>
    <n v="107"/>
  </r>
  <r>
    <x v="107"/>
    <n v="141"/>
    <n v="2916.25"/>
    <n v="35.564024390243901"/>
    <n v="20.195121951219502"/>
    <n v="82"/>
  </r>
  <r>
    <x v="108"/>
    <n v="157"/>
    <n v="3487.16"/>
    <n v="34.871600000000001"/>
    <n v="19.73"/>
    <n v="100"/>
  </r>
  <r>
    <x v="109"/>
    <n v="187"/>
    <n v="4227.09"/>
    <n v="41.442058823529401"/>
    <n v="17.3333333333333"/>
    <n v="102"/>
  </r>
  <r>
    <x v="110"/>
    <n v="191"/>
    <n v="4419.2299999999996"/>
    <n v="42.905145631067903"/>
    <n v="17.427184466019401"/>
    <n v="103"/>
  </r>
  <r>
    <x v="111"/>
    <n v="176"/>
    <n v="3945.63"/>
    <n v="41.100312500000001"/>
    <n v="16.3854166666666"/>
    <n v="96"/>
  </r>
  <r>
    <x v="112"/>
    <n v="187"/>
    <n v="3733.1"/>
    <n v="35.895192307692298"/>
    <n v="17.490384615384599"/>
    <n v="104"/>
  </r>
  <r>
    <x v="113"/>
    <n v="210"/>
    <n v="4741.79"/>
    <n v="39.188347107437998"/>
    <n v="16.181818181818102"/>
    <n v="121"/>
  </r>
  <r>
    <x v="114"/>
    <n v="156"/>
    <n v="3350.94"/>
    <n v="34.905625000000001"/>
    <n v="15.7291666666666"/>
    <n v="96"/>
  </r>
  <r>
    <x v="115"/>
    <n v="191"/>
    <n v="3858.9"/>
    <n v="35.080909090909003"/>
    <n v="14.9"/>
    <n v="110"/>
  </r>
  <r>
    <x v="116"/>
    <n v="203"/>
    <n v="4338.95"/>
    <n v="36.461764705882302"/>
    <n v="12.218487394957901"/>
    <n v="119"/>
  </r>
  <r>
    <x v="117"/>
    <n v="151"/>
    <n v="3077.42"/>
    <n v="34.577752808988699"/>
    <n v="14.9213483146067"/>
    <n v="89"/>
  </r>
  <r>
    <x v="118"/>
    <n v="151"/>
    <n v="3190.44"/>
    <n v="36.671724137931001"/>
    <n v="12.586206896551699"/>
    <n v="87"/>
  </r>
  <r>
    <x v="119"/>
    <n v="167"/>
    <n v="3570.54"/>
    <n v="35.705399999999997"/>
    <n v="11.75"/>
    <n v="100"/>
  </r>
  <r>
    <x v="120"/>
    <n v="224"/>
    <n v="4546.95"/>
    <n v="37.578099173553703"/>
    <n v="11.479338842975199"/>
    <n v="121"/>
  </r>
  <r>
    <x v="121"/>
    <n v="169"/>
    <n v="3684.91"/>
    <n v="37.988762886597897"/>
    <n v="8.6288659793814393"/>
    <n v="97"/>
  </r>
  <r>
    <x v="122"/>
    <n v="513"/>
    <n v="11636.73"/>
    <n v="39.313277027026999"/>
    <n v="4.2837837837837798"/>
    <n v="296"/>
  </r>
  <r>
    <x v="123"/>
    <n v="111"/>
    <n v="2064.0700000000002"/>
    <n v="29.071408450704201"/>
    <n v="16.4647887323943"/>
    <n v="71"/>
  </r>
  <r>
    <x v="124"/>
    <n v="95"/>
    <n v="1871.1"/>
    <n v="30.6737704918032"/>
    <n v="14.032786885245899"/>
    <n v="61"/>
  </r>
  <r>
    <x v="125"/>
    <n v="101"/>
    <n v="1837.35"/>
    <n v="32.809821428571396"/>
    <n v="11.125"/>
    <n v="56"/>
  </r>
  <r>
    <x v="126"/>
    <n v="216"/>
    <n v="4727.83"/>
    <n v="38.1276612903225"/>
    <n v="6.0887096774193497"/>
    <n v="124"/>
  </r>
  <r>
    <x v="127"/>
    <n v="72"/>
    <n v="1197.95"/>
    <n v="23.959"/>
    <n v="17.239999999999998"/>
    <n v="50"/>
  </r>
  <r>
    <x v="128"/>
    <n v="82"/>
    <n v="1360.46"/>
    <n v="25.193703703703701"/>
    <n v="16.8333333333333"/>
    <n v="54"/>
  </r>
  <r>
    <x v="129"/>
    <n v="90"/>
    <n v="1526.2"/>
    <n v="28.796226415094299"/>
    <n v="13.4716981132075"/>
    <n v="53"/>
  </r>
  <r>
    <x v="130"/>
    <n v="85"/>
    <n v="1658.92"/>
    <n v="29.623571428571399"/>
    <n v="15.589285714285699"/>
    <n v="56"/>
  </r>
  <r>
    <x v="131"/>
    <n v="89"/>
    <n v="1458.55"/>
    <n v="27.519811320754702"/>
    <n v="16.018867924528301"/>
    <n v="53"/>
  </r>
  <r>
    <x v="132"/>
    <n v="118"/>
    <n v="1936.4"/>
    <n v="26.8944444444444"/>
    <n v="12.1111111111111"/>
    <n v="72"/>
  </r>
  <r>
    <x v="133"/>
    <n v="125"/>
    <n v="2166.9499999999998"/>
    <n v="30.096527777777698"/>
    <n v="10.6944444444444"/>
    <n v="72"/>
  </r>
  <r>
    <x v="134"/>
    <n v="237"/>
    <n v="3819.6"/>
    <n v="27.089361702127601"/>
    <n v="4.3333333333333304"/>
    <n v="141"/>
  </r>
  <r>
    <x v="135"/>
    <n v="98"/>
    <n v="1890.77"/>
    <n v="37.815399999999997"/>
    <n v="18.2"/>
    <n v="50"/>
  </r>
  <r>
    <x v="136"/>
    <n v="88"/>
    <n v="1560.52"/>
    <n v="33.924347826086901"/>
    <n v="17.065217391304301"/>
    <n v="46"/>
  </r>
  <r>
    <x v="137"/>
    <n v="87"/>
    <n v="1431.55"/>
    <n v="28.069607843137199"/>
    <n v="15.921568627450901"/>
    <n v="51"/>
  </r>
  <r>
    <x v="138"/>
    <n v="63"/>
    <n v="1127.0999999999999"/>
    <n v="27.490243902439001"/>
    <n v="14.097560975609699"/>
    <n v="41"/>
  </r>
  <r>
    <x v="139"/>
    <n v="83"/>
    <n v="1509.75"/>
    <n v="34.3125"/>
    <n v="14.659090909090899"/>
    <n v="44"/>
  </r>
  <r>
    <x v="140"/>
    <n v="108"/>
    <n v="2030.16"/>
    <n v="31.721250000000001"/>
    <n v="10.109375"/>
    <n v="64"/>
  </r>
  <r>
    <x v="141"/>
    <n v="88"/>
    <n v="1605.06"/>
    <n v="29.182909090909"/>
    <n v="13.218181818181799"/>
    <n v="55"/>
  </r>
  <r>
    <x v="142"/>
    <n v="90"/>
    <n v="1464.44"/>
    <n v="27.630943396226399"/>
    <n v="13.452830188679201"/>
    <n v="53"/>
  </r>
  <r>
    <x v="143"/>
    <n v="70"/>
    <n v="1218.19"/>
    <n v="28.33"/>
    <n v="12.860465116279"/>
    <n v="43"/>
  </r>
  <r>
    <x v="144"/>
    <n v="69"/>
    <n v="1100.3399999999999"/>
    <n v="25.007727272727202"/>
    <n v="13.909090909090899"/>
    <n v="44"/>
  </r>
  <r>
    <x v="145"/>
    <n v="73"/>
    <n v="1165.2"/>
    <n v="28.4195121951219"/>
    <n v="11.1951219512195"/>
    <n v="41"/>
  </r>
  <r>
    <x v="146"/>
    <n v="62"/>
    <n v="1035.8"/>
    <n v="25.895"/>
    <n v="10.775"/>
    <n v="40"/>
  </r>
  <r>
    <x v="147"/>
    <n v="117"/>
    <n v="2171.4699999999998"/>
    <n v="34.467777777777698"/>
    <n v="8.6825396825396801"/>
    <n v="63"/>
  </r>
  <r>
    <x v="148"/>
    <n v="115"/>
    <n v="1855.79"/>
    <n v="29.9320967741935"/>
    <n v="8.2580645161290303"/>
    <n v="62"/>
  </r>
  <r>
    <x v="149"/>
    <n v="95"/>
    <n v="1932.78"/>
    <n v="37.168846153846097"/>
    <n v="5.6538461538461497"/>
    <n v="52"/>
  </r>
  <r>
    <x v="150"/>
    <n v="264"/>
    <n v="4591.32"/>
    <n v="35.317846153846098"/>
    <n v="2.3153846153846098"/>
    <n v="130"/>
  </r>
  <r>
    <x v="151"/>
    <n v="41"/>
    <n v="708.61"/>
    <n v="28.3444"/>
    <n v="10.44"/>
    <n v="25"/>
  </r>
  <r>
    <x v="152"/>
    <n v="30"/>
    <n v="487.08"/>
    <n v="23.194285714285702"/>
    <n v="10"/>
    <n v="21"/>
  </r>
  <r>
    <x v="153"/>
    <n v="35"/>
    <n v="421.84"/>
    <n v="21.091999999999999"/>
    <n v="8.1999999999999993"/>
    <n v="20"/>
  </r>
  <r>
    <x v="154"/>
    <n v="68"/>
    <n v="1206.56"/>
    <n v="24.6236734693877"/>
    <n v="3.65306122448979"/>
    <n v="49"/>
  </r>
  <r>
    <x v="155"/>
    <n v="28"/>
    <n v="361.87"/>
    <n v="25.847857142857102"/>
    <n v="8.71428571428571"/>
    <n v="14"/>
  </r>
  <r>
    <x v="156"/>
    <n v="36"/>
    <n v="709.31999999999903"/>
    <n v="37.3326315789473"/>
    <n v="7.2631578947368398"/>
    <n v="19"/>
  </r>
  <r>
    <x v="157"/>
    <n v="24"/>
    <n v="270.64"/>
    <n v="20.818461538461499"/>
    <n v="7"/>
    <n v="13"/>
  </r>
  <r>
    <x v="158"/>
    <n v="29"/>
    <n v="591.9"/>
    <n v="39.46"/>
    <n v="5.2"/>
    <n v="15"/>
  </r>
  <r>
    <x v="159"/>
    <n v="26"/>
    <n v="387.04"/>
    <n v="27.645714285714199"/>
    <n v="4.5714285714285703"/>
    <n v="14"/>
  </r>
  <r>
    <x v="160"/>
    <n v="39"/>
    <n v="566.87"/>
    <n v="26.993809523809499"/>
    <n v="3.6190476190476102"/>
    <n v="21"/>
  </r>
  <r>
    <x v="161"/>
    <n v="43"/>
    <n v="785.06"/>
    <n v="31.4024"/>
    <n v="1.76"/>
    <n v="25"/>
  </r>
  <r>
    <x v="162"/>
    <n v="22"/>
    <n v="217.6"/>
    <n v="14.5066666666666"/>
    <n v="2"/>
    <n v="15"/>
  </r>
  <r>
    <x v="163"/>
    <n v="127"/>
    <n v="1223.3499999999999"/>
    <n v="18.820769230769201"/>
    <n v="0.21538461538461501"/>
    <n v="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E001"/>
    <n v="568"/>
    <n v="21645.67"/>
    <n v="66.397760736196304"/>
    <d v="2025-02-23T04:10:00"/>
    <d v="2025-04-23T18:00:00"/>
    <n v="7.6687116564417096E-2"/>
    <x v="0"/>
    <s v="Théâtre du Panier"/>
    <d v="2026-04-23T19:00:00"/>
    <n v="400"/>
    <n v="0.78500000000000003"/>
    <x v="0"/>
  </r>
  <r>
    <s v="E002"/>
    <n v="1459"/>
    <n v="27654.45"/>
    <n v="33.479963680387399"/>
    <d v="2025-04-07T07:50:00"/>
    <d v="2025-06-14T17:00:00"/>
    <n v="8.8377723970944302E-2"/>
    <x v="1"/>
    <s v="La Friche (scène)"/>
    <d v="2026-06-14T18:00:00"/>
    <n v="1200"/>
    <n v="0.69833333333333303"/>
    <x v="1"/>
  </r>
  <r>
    <s v="E003"/>
    <n v="347"/>
    <n v="4533.5200000000004"/>
    <n v="22.443168316831599"/>
    <d v="2025-01-09T11:30:00"/>
    <d v="2025-03-06T17:00:00"/>
    <n v="9.4059405940594004E-2"/>
    <x v="2"/>
    <s v="Théâtre Canebière"/>
    <d v="2026-03-06T18:00:00"/>
    <n v="250"/>
    <n v="0.49199999999999999"/>
    <x v="2"/>
  </r>
  <r>
    <s v="E004"/>
    <n v="182"/>
    <n v="5596.17"/>
    <n v="51.816388888888802"/>
    <d v="2025-04-29T12:30:00"/>
    <d v="2025-06-25T17:00:00"/>
    <n v="6.4814814814814797E-2"/>
    <x v="3"/>
    <s v="Le Dôme (club)"/>
    <d v="2026-06-25T18:00:00"/>
    <n v="150"/>
    <n v="0.55333333333333301"/>
    <x v="1"/>
  </r>
  <r>
    <s v="E005"/>
    <n v="994"/>
    <n v="23478.3"/>
    <n v="41.19"/>
    <d v="2025-03-20T07:20:00"/>
    <d v="2025-05-21T18:00:00"/>
    <n v="7.0175438596491196E-2"/>
    <x v="4"/>
    <s v="Le Dôme (club)"/>
    <d v="2026-05-21T19:00:00"/>
    <n v="700"/>
    <n v="0.51142857142857101"/>
    <x v="2"/>
  </r>
  <r>
    <s v="E006"/>
    <n v="146"/>
    <n v="5787.47"/>
    <n v="68.087882352941094"/>
    <d v="2025-01-24T12:40:00"/>
    <d v="2025-04-01T20:00:00"/>
    <n v="0.129411764705882"/>
    <x v="5"/>
    <s v="Dock des Suds (fiction)"/>
    <d v="2026-04-01T21:00:00"/>
    <n v="150"/>
    <n v="0.76666666666666605"/>
    <x v="3"/>
  </r>
  <r>
    <s v="E007"/>
    <n v="1396"/>
    <n v="18073.07"/>
    <n v="22.506936488169298"/>
    <d v="2025-02-10T13:00:00"/>
    <d v="2025-04-11T19:00:00"/>
    <n v="9.7135740971357395E-2"/>
    <x v="6"/>
    <s v="Dock des Suds (fiction)"/>
    <d v="2026-04-11T20:00:00"/>
    <n v="1200"/>
    <n v="0.78249999999999997"/>
    <x v="4"/>
  </r>
  <r>
    <s v="E008"/>
    <n v="323"/>
    <n v="4194.96"/>
    <n v="21.963141361256501"/>
    <d v="2025-01-28T07:00:00"/>
    <d v="2025-03-19T19:00:00"/>
    <n v="8.9005235602094196E-2"/>
    <x v="7"/>
    <s v="Théâtre du Panier"/>
    <d v="2026-03-19T20:00:00"/>
    <n v="250"/>
    <n v="0.9"/>
    <x v="5"/>
  </r>
  <r>
    <s v="E009"/>
    <n v="450"/>
    <n v="8741.7000000000007"/>
    <n v="34.689285714285703"/>
    <d v="2025-01-07T16:40:00"/>
    <d v="2025-03-09T20:00:00"/>
    <n v="9.1269841269841195E-2"/>
    <x v="8"/>
    <s v="Espace Joliette"/>
    <d v="2026-03-09T21:00:00"/>
    <n v="400"/>
    <n v="0.58750000000000002"/>
    <x v="6"/>
  </r>
  <r>
    <s v="E010"/>
    <n v="469"/>
    <n v="7366.46"/>
    <n v="26.6900724637681"/>
    <d v="2025-01-15T14:10:00"/>
    <d v="2025-03-16T19:00:00"/>
    <n v="7.6086956521739094E-2"/>
    <x v="9"/>
    <s v="Théâtre du Panier"/>
    <d v="2026-03-16T20:00:00"/>
    <n v="400"/>
    <n v="0.65249999999999997"/>
    <x v="2"/>
  </r>
  <r>
    <s v="E011"/>
    <n v="803"/>
    <n v="10505.24"/>
    <n v="22.2098097251585"/>
    <d v="2025-02-14T13:30:00"/>
    <d v="2025-04-07T17:00:00"/>
    <n v="6.9767441860465101E-2"/>
    <x v="10"/>
    <s v="Espace Joliette"/>
    <d v="2026-04-07T18:00:00"/>
    <n v="700"/>
    <n v="0.82857142857142796"/>
    <x v="6"/>
  </r>
  <r>
    <s v="E012"/>
    <n v="533"/>
    <n v="8378.89"/>
    <n v="26.855416666666599"/>
    <d v="2025-01-22T14:30:00"/>
    <d v="2025-03-16T18:00:00"/>
    <n v="9.2948717948717896E-2"/>
    <x v="11"/>
    <s v="Le Dôme (club)"/>
    <d v="2026-03-16T19:00:00"/>
    <n v="400"/>
    <n v="0.9325"/>
    <x v="5"/>
  </r>
  <r>
    <s v="E013"/>
    <n v="535"/>
    <n v="13238.34"/>
    <n v="43.547171052631498"/>
    <d v="2025-02-28T11:20:00"/>
    <d v="2025-04-23T20:00:00"/>
    <n v="7.8947368421052599E-2"/>
    <x v="12"/>
    <s v="Théâtre du Panier"/>
    <d v="2026-04-23T21:00:00"/>
    <n v="400"/>
    <n v="0.65"/>
    <x v="6"/>
  </r>
  <r>
    <s v="E014"/>
    <n v="294"/>
    <n v="5828.59"/>
    <n v="33.887151162790701"/>
    <d v="2025-03-12T17:30:00"/>
    <d v="2025-05-11T19:00:00"/>
    <n v="7.5581395348837205E-2"/>
    <x v="13"/>
    <s v="Espace Joliette"/>
    <d v="2026-05-11T20:00:00"/>
    <n v="250"/>
    <n v="0.628"/>
    <x v="0"/>
  </r>
  <r>
    <s v="E015"/>
    <n v="838"/>
    <n v="8429.15"/>
    <n v="17.6711740041928"/>
    <d v="2025-05-03T16:00:00"/>
    <d v="2025-06-27T18:00:00"/>
    <n v="9.8532494758909794E-2"/>
    <x v="14"/>
    <s v="Dock des Suds (fiction)"/>
    <d v="2026-06-27T19:00:00"/>
    <n v="700"/>
    <n v="0.875714285714285"/>
    <x v="1"/>
  </r>
  <r>
    <s v="E016"/>
    <n v="703"/>
    <n v="8999.5"/>
    <n v="21.427380952380901"/>
    <d v="2025-03-31T09:40:00"/>
    <d v="2025-05-29T20:00:00"/>
    <n v="7.6190476190476197E-2"/>
    <x v="15"/>
    <s v="Le Dôme (club)"/>
    <d v="2026-05-29T21:00:00"/>
    <n v="700"/>
    <n v="0.42"/>
    <x v="2"/>
  </r>
  <r>
    <s v="E017"/>
    <n v="229"/>
    <n v="8910.31"/>
    <n v="61.877152777777702"/>
    <d v="2025-01-14T04:40:00"/>
    <d v="2025-03-11T17:00:00"/>
    <n v="9.0277777777777707E-2"/>
    <x v="16"/>
    <s v="Le Dôme (club)"/>
    <d v="2026-03-11T19:00:00"/>
    <n v="150"/>
    <n v="0.8"/>
    <x v="4"/>
  </r>
  <r>
    <s v="E018"/>
    <n v="2509"/>
    <n v="60938.65"/>
    <n v="42.055659075224199"/>
    <d v="2025-03-15T15:10:00"/>
    <d v="2025-05-17T19:00:00"/>
    <n v="8.1435472739820505E-2"/>
    <x v="17"/>
    <s v="Salle du Vieux-Port"/>
    <d v="2026-05-17T20:00:00"/>
    <n v="2000"/>
    <n v="0.67949999999999999"/>
    <x v="6"/>
  </r>
  <r>
    <s v="E019"/>
    <n v="459"/>
    <n v="4781.08"/>
    <n v="18.67609375"/>
    <d v="2025-03-01T12:40:00"/>
    <d v="2025-05-01T18:00:00"/>
    <n v="8.59375E-2"/>
    <x v="18"/>
    <s v="Le Dôme (club)"/>
    <d v="2026-05-01T19:00:00"/>
    <n v="400"/>
    <n v="0.83250000000000002"/>
    <x v="5"/>
  </r>
  <r>
    <s v="E020"/>
    <n v="937"/>
    <n v="14553.74"/>
    <n v="26.7041100917431"/>
    <d v="2025-03-19T07:20:00"/>
    <d v="2025-05-29T18:00:00"/>
    <n v="8.9908256880733894E-2"/>
    <x v="19"/>
    <s v="Salle Prado"/>
    <d v="2026-05-29T19:00:00"/>
    <n v="700"/>
    <n v="0.432857142857142"/>
    <x v="0"/>
  </r>
  <r>
    <s v="E021"/>
    <n v="327"/>
    <n v="6075.22"/>
    <n v="32.144021164021098"/>
    <d v="2025-04-29T07:10:00"/>
    <d v="2025-06-18T19:00:00"/>
    <n v="8.4656084656084596E-2"/>
    <x v="20"/>
    <s v="La Friche (scène)"/>
    <d v="2026-06-18T20:00:00"/>
    <n v="250"/>
    <n v="0.89600000000000002"/>
    <x v="4"/>
  </r>
  <r>
    <s v="E022"/>
    <n v="191"/>
    <n v="6045.81"/>
    <n v="53.980446428571398"/>
    <d v="2025-04-03T06:30:00"/>
    <d v="2025-05-17T19:00:00"/>
    <n v="0.125"/>
    <x v="21"/>
    <s v="Théâtre Canebière"/>
    <d v="2026-05-17T20:00:00"/>
    <n v="150"/>
    <n v="0.62666666666666604"/>
    <x v="0"/>
  </r>
  <r>
    <s v="E023"/>
    <n v="273"/>
    <n v="5138.1099999999997"/>
    <n v="31.3299390243902"/>
    <d v="2025-04-15T06:50:00"/>
    <d v="2025-06-04T17:00:00"/>
    <n v="7.3170731707316999E-2"/>
    <x v="22"/>
    <s v="La Friche (scène)"/>
    <d v="2026-06-04T18:00:00"/>
    <n v="250"/>
    <n v="0.66"/>
    <x v="1"/>
  </r>
  <r>
    <s v="E024"/>
    <n v="531"/>
    <n v="10016.74"/>
    <n v="31.900445859872601"/>
    <d v="2025-02-01T06:10:00"/>
    <d v="2025-03-30T18:00:00"/>
    <n v="0.101910828025477"/>
    <x v="23"/>
    <s v="Salle du Vieux-Port"/>
    <d v="2026-03-30T19:00:00"/>
    <n v="400"/>
    <n v="0.57999999999999996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E003"/>
    <x v="0"/>
    <n v="4533.5200000000004"/>
  </r>
  <r>
    <s v="E009"/>
    <x v="1"/>
    <n v="8741.7000000000007"/>
  </r>
  <r>
    <s v="E017"/>
    <x v="2"/>
    <n v="8910.31"/>
  </r>
  <r>
    <s v="E012"/>
    <x v="3"/>
    <n v="8378.89"/>
  </r>
  <r>
    <s v="E010"/>
    <x v="4"/>
    <n v="7366.46"/>
  </r>
  <r>
    <s v="E008"/>
    <x v="4"/>
    <n v="4194.96"/>
  </r>
  <r>
    <s v="E024"/>
    <x v="5"/>
    <n v="10016.74"/>
  </r>
  <r>
    <s v="E006"/>
    <x v="6"/>
    <n v="5787.47"/>
  </r>
  <r>
    <s v="E011"/>
    <x v="7"/>
    <n v="10505.24"/>
  </r>
  <r>
    <s v="E007"/>
    <x v="8"/>
    <n v="18073.07"/>
  </r>
  <r>
    <s v="E001"/>
    <x v="6"/>
    <n v="21645.67"/>
  </r>
  <r>
    <s v="E013"/>
    <x v="4"/>
    <n v="13238.34"/>
  </r>
  <r>
    <s v="E019"/>
    <x v="7"/>
    <n v="4781.08"/>
  </r>
  <r>
    <s v="E014"/>
    <x v="9"/>
    <n v="5828.59"/>
  </r>
  <r>
    <s v="E018"/>
    <x v="2"/>
    <n v="60938.65"/>
  </r>
  <r>
    <s v="E022"/>
    <x v="7"/>
    <n v="6045.81"/>
  </r>
  <r>
    <s v="E005"/>
    <x v="10"/>
    <n v="23478.3"/>
  </r>
  <r>
    <s v="E020"/>
    <x v="4"/>
    <n v="14553.74"/>
  </r>
  <r>
    <s v="E016"/>
    <x v="9"/>
    <n v="8999.5"/>
  </r>
  <r>
    <s v="E023"/>
    <x v="11"/>
    <n v="5138.1099999999997"/>
  </r>
  <r>
    <s v="E002"/>
    <x v="5"/>
    <n v="27654.45"/>
  </r>
  <r>
    <s v="E021"/>
    <x v="12"/>
    <n v="6075.22"/>
  </r>
  <r>
    <s v="E004"/>
    <x v="11"/>
    <n v="5596.17"/>
  </r>
  <r>
    <s v="E015"/>
    <x v="13"/>
    <n v="8429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71605-4E97-44CD-9F7A-86501BA8BED8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axis="axisRow"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dataField="1" numFmtId="2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revenue" fld="2" baseField="0" baseItem="0" numFmtId="2"/>
  </dataFields>
  <pivotTableStyleInfo name="PivotStyleLight16" showRowHeaders="1" showColHeaders="1" showRowStripes="0" showColStripes="0" showLastColumn="1"/>
  <filters count="1">
    <filter fld="0" type="lastYear" evalOrder="-1" id="4">
      <autoFilter ref="A1">
        <filterColumn colId="0">
          <dynamicFilter type="lastYear" val="45658" maxVal="4602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764F8-0031-4FFA-8BDB-81043492D796}" name="Tableau croisé dynamique3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3"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22" showAll="0"/>
    <pivotField numFmtId="22" showAll="0"/>
    <pivotField showAll="0"/>
    <pivotField axis="axisRow" showAll="0" measureFilter="1" sortType="descending">
      <items count="25">
        <item x="11"/>
        <item x="18"/>
        <item x="7"/>
        <item x="0"/>
        <item x="13"/>
        <item x="19"/>
        <item x="21"/>
        <item x="10"/>
        <item x="12"/>
        <item x="17"/>
        <item x="23"/>
        <item x="8"/>
        <item x="5"/>
        <item x="9"/>
        <item x="15"/>
        <item x="2"/>
        <item x="4"/>
        <item x="16"/>
        <item x="20"/>
        <item x="6"/>
        <item x="14"/>
        <item x="1"/>
        <item x="2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showAll="0"/>
  </pivotFields>
  <rowFields count="1">
    <field x="7"/>
  </rowFields>
  <rowItems count="11">
    <i>
      <x v="9"/>
    </i>
    <i>
      <x v="21"/>
    </i>
    <i>
      <x v="16"/>
    </i>
    <i>
      <x v="3"/>
    </i>
    <i>
      <x v="19"/>
    </i>
    <i>
      <x v="5"/>
    </i>
    <i>
      <x v="8"/>
    </i>
    <i>
      <x v="7"/>
    </i>
    <i>
      <x v="10"/>
    </i>
    <i>
      <x v="14"/>
    </i>
    <i t="grand">
      <x/>
    </i>
  </rowItems>
  <colItems count="1">
    <i/>
  </colItems>
  <dataFields count="1">
    <dataField name="Somme de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val="10" filterVal="10"/>
        </filterColumn>
      </autoFilter>
    </filter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5D7F7-AB36-4B34-93FF-5277F65FED61}" name="Tableau croisé dynamique2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8:B53" firstHeaderRow="1" firstDataRow="1" firstDataCol="1"/>
  <pivotFields count="3">
    <pivotField showAll="0"/>
    <pivotField axis="axisRow" showAll="0" sortType="descending">
      <items count="15">
        <item x="2"/>
        <item x="9"/>
        <item x="8"/>
        <item x="12"/>
        <item x="3"/>
        <item x="4"/>
        <item x="5"/>
        <item x="0"/>
        <item x="1"/>
        <item x="13"/>
        <item x="11"/>
        <item x="7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</pivotFields>
  <rowFields count="1">
    <field x="1"/>
  </rowFields>
  <rowItems count="15">
    <i>
      <x/>
    </i>
    <i>
      <x v="5"/>
    </i>
    <i>
      <x v="6"/>
    </i>
    <i>
      <x v="13"/>
    </i>
    <i>
      <x v="12"/>
    </i>
    <i>
      <x v="11"/>
    </i>
    <i>
      <x v="2"/>
    </i>
    <i>
      <x v="1"/>
    </i>
    <i>
      <x v="10"/>
    </i>
    <i>
      <x v="8"/>
    </i>
    <i>
      <x v="9"/>
    </i>
    <i>
      <x v="4"/>
    </i>
    <i>
      <x v="3"/>
    </i>
    <i>
      <x v="7"/>
    </i>
    <i t="grand">
      <x/>
    </i>
  </rowItems>
  <colItems count="1">
    <i/>
  </colItems>
  <dataFields count="1">
    <dataField name="Somme de revenue" fld="2" baseField="0" baseItem="0" numFmtId="44"/>
  </dataFields>
  <formats count="8">
    <format dxfId="7">
      <pivotArea collapsedLevelsAreSubtotals="1" fieldPosition="0">
        <references count="1">
          <reference field="1" count="1">
            <x v="7"/>
          </reference>
        </references>
      </pivotArea>
    </format>
    <format dxfId="6">
      <pivotArea grandRow="1" outline="0" collapsedLevelsAreSubtotals="1" fieldPosition="0"/>
    </format>
    <format dxfId="5">
      <pivotArea dataOnly="0" labelOnly="1" fieldPosition="0">
        <references count="1">
          <reference field="1" count="1">
            <x v="7"/>
          </reference>
        </references>
      </pivotArea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1">
            <x v="7"/>
          </reference>
        </references>
      </pivotArea>
    </format>
    <format dxfId="2">
      <pivotArea grandRow="1" outline="0" collapsedLevelsAreSubtotals="1" fieldPosition="0"/>
    </format>
    <format dxfId="1">
      <pivotArea dataOnly="0" labelOnly="1" fieldPosition="0">
        <references count="1">
          <reference field="1" count="1">
            <x v="7"/>
          </reference>
        </references>
      </pivotArea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BEC1F-42FD-4BF2-9BAF-67B8E55025E3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I24:J32" firstHeaderRow="1" firstDataRow="1" firstDataCol="1"/>
  <pivotFields count="13">
    <pivotField showAll="0"/>
    <pivotField showAll="0"/>
    <pivotField dataField="1" showAll="0"/>
    <pivotField showAll="0"/>
    <pivotField numFmtId="22" showAll="0"/>
    <pivotField numFmtId="22" showAll="0"/>
    <pivotField showAll="0"/>
    <pivotField showAll="0"/>
    <pivotField showAll="0"/>
    <pivotField numFmtId="22" showAll="0"/>
    <pivotField showAll="0"/>
    <pivotField showAll="0"/>
    <pivotField axis="axisRow" showAll="0" sortType="descending">
      <items count="8">
        <item x="5"/>
        <item x="0"/>
        <item x="6"/>
        <item x="3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8">
    <i>
      <x v="2"/>
    </i>
    <i>
      <x v="1"/>
    </i>
    <i>
      <x v="6"/>
    </i>
    <i>
      <x v="4"/>
    </i>
    <i>
      <x v="5"/>
    </i>
    <i>
      <x/>
    </i>
    <i>
      <x v="3"/>
    </i>
    <i t="grand">
      <x/>
    </i>
  </rowItems>
  <colItems count="1">
    <i/>
  </colItems>
  <dataFields count="1">
    <dataField name="Somme de revenue" fld="2" baseField="12" baseItem="0" numFmtId="165"/>
  </dataFields>
  <formats count="8">
    <format dxfId="37">
      <pivotArea collapsedLevelsAreSubtotals="1" fieldPosition="0">
        <references count="1">
          <reference field="12" count="1">
            <x v="4"/>
          </reference>
        </references>
      </pivotArea>
    </format>
    <format dxfId="35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2" type="button" dataOnly="0" labelOnly="1" outline="0" axis="axisRow" fieldPosition="0"/>
    </format>
    <format dxfId="22">
      <pivotArea dataOnly="0" labelOnly="1" fieldPosition="0">
        <references count="1">
          <reference field="1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53FEE-E675-4C31-B9BC-39A06434DB53}" name="Tableau croisé dynamique4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E23:F34" firstHeaderRow="1" firstDataRow="1" firstDataCol="1"/>
  <pivotFields count="13">
    <pivotField showAll="0"/>
    <pivotField showAll="0"/>
    <pivotField dataField="1" showAll="0"/>
    <pivotField showAll="0"/>
    <pivotField numFmtId="22" showAll="0"/>
    <pivotField numFmtId="22" showAll="0"/>
    <pivotField showAll="0"/>
    <pivotField axis="axisRow" showAll="0" measureFilter="1" sortType="descending">
      <items count="25">
        <item x="11"/>
        <item x="18"/>
        <item x="7"/>
        <item x="0"/>
        <item x="13"/>
        <item x="19"/>
        <item x="21"/>
        <item x="10"/>
        <item x="12"/>
        <item x="17"/>
        <item x="23"/>
        <item x="8"/>
        <item x="5"/>
        <item x="9"/>
        <item x="15"/>
        <item x="2"/>
        <item x="4"/>
        <item x="16"/>
        <item x="20"/>
        <item x="6"/>
        <item x="14"/>
        <item x="1"/>
        <item x="2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showAll="0"/>
  </pivotFields>
  <rowFields count="1">
    <field x="7"/>
  </rowFields>
  <rowItems count="11">
    <i>
      <x v="9"/>
    </i>
    <i>
      <x v="21"/>
    </i>
    <i>
      <x v="16"/>
    </i>
    <i>
      <x v="3"/>
    </i>
    <i>
      <x v="19"/>
    </i>
    <i>
      <x v="5"/>
    </i>
    <i>
      <x v="8"/>
    </i>
    <i>
      <x v="7"/>
    </i>
    <i>
      <x v="10"/>
    </i>
    <i>
      <x v="14"/>
    </i>
    <i t="grand">
      <x/>
    </i>
  </rowItems>
  <colItems count="1">
    <i/>
  </colItems>
  <dataFields count="1">
    <dataField name="Somme de revenue" fld="2" baseField="0" baseItem="0" numFmtId="165"/>
  </dataFields>
  <formats count="7">
    <format dxfId="34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10">
            <x v="3"/>
            <x v="5"/>
            <x v="7"/>
            <x v="8"/>
            <x v="9"/>
            <x v="10"/>
            <x v="14"/>
            <x v="16"/>
            <x v="19"/>
            <x v="21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B10A2-F858-4738-88C2-99B5BD27D8C3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24:B31" firstHeaderRow="1" firstDataRow="1" firstDataCol="1"/>
  <pivotFields count="8">
    <pivotField axis="axisRow" numFmtId="14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showAll="0"/>
    <pivotField dataField="1" numFmtId="2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revenue" fld="2" baseField="0" baseItem="0" numFmtId="165"/>
  </dataFields>
  <formats count="7">
    <format dxfId="36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6"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00F1CEF-4C6D-45F9-9016-D935A3B91CE4}" autoFormatId="16" applyNumberFormats="0" applyBorderFormats="0" applyFontFormats="0" applyPatternFormats="0" applyAlignmentFormats="0" applyWidthHeightFormats="0">
  <queryTableRefresh nextId="7">
    <queryTableFields count="6">
      <queryTableField id="1" name="purchase_day" tableColumnId="1"/>
      <queryTableField id="2" name="tickets_sold" tableColumnId="2"/>
      <queryTableField id="3" name="revenue" tableColumnId="3"/>
      <queryTableField id="4" name="avg_basket" tableColumnId="4"/>
      <queryTableField id="5" name="avg_lead_time" tableColumnId="5"/>
      <queryTableField id="6" name="tx_c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0E0538F5-2CFF-4711-A609-DEAF6FDDE0A0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vent_id" tableColumnId="1"/>
      <queryTableField id="2" name="tickets_sold" tableColumnId="2"/>
      <queryTableField id="3" name="revenue" tableColumnId="3"/>
      <queryTableField id="4" name="avg_basket" tableColumnId="4"/>
      <queryTableField id="5" name="first_purchase" tableColumnId="5"/>
      <queryTableField id="6" name="last_purchase" tableColumnId="6"/>
      <queryTableField id="7" name="no_show_rate" tableColumnId="7"/>
      <queryTableField id="8" name="event_name" tableColumnId="8"/>
      <queryTableField id="9" name="venue_name" tableColumnId="9"/>
      <queryTableField id="10" name="event_datetime" tableColumnId="10"/>
      <queryTableField id="11" name="capacity" tableColumnId="11"/>
      <queryTableField id="12" name="fill_rate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8D654E1-B1BC-424F-828F-77B2256EFD0A}" autoFormatId="16" applyNumberFormats="0" applyBorderFormats="0" applyFontFormats="0" applyPatternFormats="0" applyAlignmentFormats="0" applyWidthHeightFormats="0">
  <queryTableRefresh nextId="10">
    <queryTableFields count="8">
      <queryTableField id="1" name="event_id" tableColumnId="1"/>
      <queryTableField id="2" name="event_name" tableColumnId="2"/>
      <queryTableField id="3" name="venue_name" tableColumnId="3"/>
      <queryTableField id="4" name="event_datetime" tableColumnId="4"/>
      <queryTableField id="5" name="capacity" tableColumnId="5"/>
      <queryTableField id="6" name="base_price" tableColumnId="6"/>
      <queryTableField id="7" name="genre" tableColumnId="7"/>
      <queryTableField id="8" name="quartier_zo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0D269-2AEF-42D7-BD30-13E9C99E963B}" name="DATA_kpi_daily" displayName="DATA_kpi_daily" ref="A1:F165" tableType="queryTable" totalsRowShown="0">
  <autoFilter ref="A1:F165" xr:uid="{4500D269-2AEF-42D7-BD30-13E9C99E963B}"/>
  <tableColumns count="6">
    <tableColumn id="1" xr3:uid="{61CC86B2-81A3-47E1-9C7A-CB3F5C3C9A75}" uniqueName="1" name="purchase_day" queryTableFieldId="1" dataDxfId="111"/>
    <tableColumn id="2" xr3:uid="{1B2A9B9E-547B-485F-A1F7-D89FA0BBE471}" uniqueName="2" name="tickets_sold" queryTableFieldId="2"/>
    <tableColumn id="3" xr3:uid="{F5821FDF-A9F2-453A-8F3E-03FE9CC0DCFF}" uniqueName="3" name="revenue" queryTableFieldId="3" dataDxfId="110"/>
    <tableColumn id="4" xr3:uid="{BB6612DE-2D7C-400B-848E-05B6838FA087}" uniqueName="4" name="avg_basket" queryTableFieldId="4" dataDxfId="109"/>
    <tableColumn id="5" xr3:uid="{D6ED249B-32B6-4EF5-BBF0-2E82785944C6}" uniqueName="5" name="avg_lead_time" queryTableFieldId="5" dataDxfId="108"/>
    <tableColumn id="6" xr3:uid="{CB75017C-3BE0-4422-A5DC-53F25867E3BC}" uniqueName="6" name="tx_coun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DC1FF-8598-4065-8F9F-D48AC486DF4E}" name="DATA_kpi_event" displayName="DATA_kpi_event" ref="A1:M25" tableType="queryTable" totalsRowShown="0">
  <autoFilter ref="A1:M25" xr:uid="{D63DC1FF-8598-4065-8F9F-D48AC486DF4E}"/>
  <tableColumns count="13">
    <tableColumn id="1" xr3:uid="{CB1B5E8F-3787-4052-809D-F06E17B51E35}" uniqueName="1" name="event_id" queryTableFieldId="1" dataDxfId="107"/>
    <tableColumn id="2" xr3:uid="{3F61B6AA-FC5B-4041-B689-B427A5A65935}" uniqueName="2" name="tickets_sold" queryTableFieldId="2"/>
    <tableColumn id="3" xr3:uid="{2B2D0056-D8DD-4CBB-9F63-6538C4F72370}" uniqueName="3" name="revenue" queryTableFieldId="3" dataDxfId="106"/>
    <tableColumn id="4" xr3:uid="{8139CD0E-2209-40B6-B29F-DA9D15A47507}" uniqueName="4" name="avg_basket" queryTableFieldId="4" dataDxfId="105"/>
    <tableColumn id="5" xr3:uid="{40BEABC3-046F-48A8-A9E9-03786368D495}" uniqueName="5" name="first_purchase" queryTableFieldId="5" dataDxfId="104"/>
    <tableColumn id="6" xr3:uid="{3AEF3424-B476-4CC2-AFB3-8B12EA52E481}" uniqueName="6" name="last_purchase" queryTableFieldId="6" dataDxfId="103"/>
    <tableColumn id="7" xr3:uid="{A5313606-69BA-4DA6-8464-1260D5339070}" uniqueName="7" name="no_show_rate" queryTableFieldId="7" dataDxfId="102"/>
    <tableColumn id="8" xr3:uid="{86C0FF43-40EC-40A9-8BDF-650F5BB405C5}" uniqueName="8" name="event_name" queryTableFieldId="8" dataDxfId="101"/>
    <tableColumn id="9" xr3:uid="{08084C99-5390-43E4-AFCB-4DE4413A8A6B}" uniqueName="9" name="venue_name" queryTableFieldId="9" dataDxfId="100"/>
    <tableColumn id="10" xr3:uid="{7DC77057-C6A6-4B34-974F-9A1E797A2F09}" uniqueName="10" name="event_datetime" queryTableFieldId="10" dataDxfId="99"/>
    <tableColumn id="11" xr3:uid="{DC8D53AA-A24A-4F3E-A135-2E32403CD2EB}" uniqueName="11" name="capacity" queryTableFieldId="11"/>
    <tableColumn id="12" xr3:uid="{08BC0337-5ECC-4A83-9DD2-F4E31DC9B4C9}" uniqueName="12" name="fill_rate" queryTableFieldId="12" dataDxfId="98"/>
    <tableColumn id="13" xr3:uid="{FE51A8FC-6D25-45CC-BD0A-20ED8E3A75E4}" uniqueName="13" name="genre" queryTableFieldId="13" dataDxfId="97">
      <calculatedColumnFormula>IFERROR(INDEX(DATA_dim_events!$G:$G,MATCH($A2,DATA_dim_events!$A:$A,0)),"")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4F8236-8F48-4B3F-8CFB-A0C7EBF4B7F5}" name="DATA_dim_events" displayName="DATA_dim_events" ref="A1:H25" tableType="queryTable" totalsRowShown="0">
  <autoFilter ref="A1:H25" xr:uid="{C34F8236-8F48-4B3F-8CFB-A0C7EBF4B7F5}"/>
  <tableColumns count="8">
    <tableColumn id="1" xr3:uid="{59FC87A8-4B8D-4DD3-9B41-63989454651C}" uniqueName="1" name="event_id" queryTableFieldId="1" dataDxfId="96"/>
    <tableColumn id="2" xr3:uid="{EB6851A7-1154-43EC-9376-25096177B352}" uniqueName="2" name="event_name" queryTableFieldId="2" dataDxfId="95"/>
    <tableColumn id="3" xr3:uid="{4C4D8116-C1FA-4A4E-8D6B-00B7DF30716B}" uniqueName="3" name="venue_name" queryTableFieldId="3" dataDxfId="94"/>
    <tableColumn id="4" xr3:uid="{7B0D59DC-4094-46D3-B6D7-AE453B1621D5}" uniqueName="4" name="event_datetime" queryTableFieldId="4" dataDxfId="93"/>
    <tableColumn id="5" xr3:uid="{5B3171D0-FA08-4D8E-A41C-0E0261BA492D}" uniqueName="5" name="capacity" queryTableFieldId="5"/>
    <tableColumn id="6" xr3:uid="{D9F1EDB9-5CC7-4ADE-9AF8-DE79B4E0ADAC}" uniqueName="6" name="base_price" queryTableFieldId="6" dataDxfId="92"/>
    <tableColumn id="7" xr3:uid="{770ACEA0-9C8B-4485-84E4-16167FB6D22D}" uniqueName="7" name="genre" queryTableFieldId="7" dataDxfId="91"/>
    <tableColumn id="8" xr3:uid="{06090A16-3E3C-43D2-8158-E3D7335BA2D9}" uniqueName="8" name="quartier_zone" queryTableFieldId="8" dataDxfId="9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AD1BAA-C549-49C0-9E94-42E9A67C1EAE}" name="Tableau7" displayName="Tableau7" ref="A1:C25" totalsRowShown="0" headerRowDxfId="27" dataDxfId="28" headerRowBorderDxfId="32" tableBorderDxfId="33" totalsRowBorderDxfId="31">
  <autoFilter ref="A1:C25" xr:uid="{3BAD1BAA-C549-49C0-9E94-42E9A67C1EAE}"/>
  <tableColumns count="3">
    <tableColumn id="1" xr3:uid="{432BAD04-77F5-41F9-A07E-948854697B17}" name="event_id" dataDxfId="30"/>
    <tableColumn id="2" xr3:uid="{7ED9F590-B0CD-4A4C-9844-6C38B13743B9}" name="quartier_zone" dataDxfId="29"/>
    <tableColumn id="3" xr3:uid="{703A61ED-E51A-4287-BA0D-05C2F626CF23}" name="revenue" dataDxfId="26" dataCellStyle="Monétaire">
      <calculatedColumnFormula>IFERROR(INDEX(DATA_kpi_event[revenue],MATCH(A2,DATA_kpi_event[event_id],0)),"")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D60433-DA1E-445F-86F7-CD0EECF379DA}" name="Tableau4" displayName="Tableau4" ref="A1:B5" totalsRowShown="0">
  <autoFilter ref="A1:B5" xr:uid="{DAD60433-DA1E-445F-86F7-CD0EECF379DA}"/>
  <tableColumns count="2">
    <tableColumn id="1" xr3:uid="{9ED00B47-1FFD-4087-A507-ACFA618DE42D}" name="KPIs"/>
    <tableColumn id="2" xr3:uid="{7B0BB210-8B97-4501-87AD-2BE33E641AFC}" name="Valeu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0528A7-6136-4A75-A5A7-5D95F54602E1}" name="Tableau6" displayName="Tableau6" ref="B15:H25" totalsRowShown="0" headerRowDxfId="89">
  <autoFilter ref="B15:H25" xr:uid="{530528A7-6136-4A75-A5A7-5D95F54602E1}"/>
  <sortState xmlns:xlrd2="http://schemas.microsoft.com/office/spreadsheetml/2017/richdata2" ref="B16:H25">
    <sortCondition ref="F15:F25"/>
  </sortState>
  <tableColumns count="7">
    <tableColumn id="1" xr3:uid="{100AEC9C-CC9D-4B17-A6CE-6E0DDB79E23E}" name="event_name" dataDxfId="88"/>
    <tableColumn id="2" xr3:uid="{8CC19371-710D-4F0A-93A7-BB783EE46318}" name="tickets_sold" dataDxfId="87" dataCellStyle="Pourcentage"/>
    <tableColumn id="3" xr3:uid="{B994BCEF-E554-4FE1-853E-33027F06CDAB}" name="revenue" dataDxfId="86" dataCellStyle="Monétaire"/>
    <tableColumn id="4" xr3:uid="{F9CF082B-1586-4FCC-ACAF-AF8B79775552}" name="no_show_rate" dataDxfId="85" dataCellStyle="Pourcentage"/>
    <tableColumn id="5" xr3:uid="{EDCD2BF0-16E5-4177-AEE9-0E5CE9FA54F3}" name="fill_rate" dataDxfId="84" dataCellStyle="Pourcentage"/>
    <tableColumn id="6" xr3:uid="{C25D46F6-0DCD-4DF6-963B-8A40E185483F}" name="Capacité estimée" dataDxfId="83" dataCellStyle="Monétaire"/>
    <tableColumn id="7" xr3:uid="{5A2F7B77-15BC-47EB-829F-0D30DB2CCCEF}" name="Manque à gagner estimé" dataDxfId="82" dataCellStyle="Monétai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0F28A7-92CC-4D2E-B36F-A13A7899772E}" name="BASE_events_ops" displayName="BASE_events_ops" ref="K13:R38" totalsRowShown="0" headerRowDxfId="81" dataDxfId="79" headerRowBorderDxfId="80" tableBorderDxfId="78" totalsRowBorderDxfId="77">
  <autoFilter ref="K13:R38" xr:uid="{B90F28A7-92CC-4D2E-B36F-A13A7899772E}"/>
  <sortState xmlns:xlrd2="http://schemas.microsoft.com/office/spreadsheetml/2017/richdata2" ref="K14:R38">
    <sortCondition descending="1" ref="R13:R38"/>
  </sortState>
  <tableColumns count="8">
    <tableColumn id="1" xr3:uid="{8E71DC81-5F88-4E5A-BBF5-0E925AA9DDBE}" name="tickets_sold" dataDxfId="76"/>
    <tableColumn id="2" xr3:uid="{1D86A54D-DEC4-45C3-A7EC-9F8DBD7CF5DA}" name="revenue" dataDxfId="75"/>
    <tableColumn id="3" xr3:uid="{8145E12A-E52A-4935-8270-A20A788B4D14}" name="no_show_rate" dataDxfId="74"/>
    <tableColumn id="4" xr3:uid="{15C881BA-AEA0-4EEF-B05D-B26B62BB96BD}" name="event_name" dataDxfId="73"/>
    <tableColumn id="5" xr3:uid="{884934D2-777A-4601-99E3-92FE863A83E0}" name="fill_rate" dataDxfId="72"/>
    <tableColumn id="6" xr3:uid="{4ABA0346-794E-4DAC-91C6-75249F9E886C}" name="Capacité estimée" dataDxfId="71">
      <calculatedColumnFormula>IFERROR(ROUND(K14/O14,0),"")</calculatedColumnFormula>
    </tableColumn>
    <tableColumn id="7" xr3:uid="{6F95B7F7-6C13-4AEC-9C43-1C59A0676C51}" name="Manque à gagner estimé" dataDxfId="70">
      <calculatedColumnFormula>IFERROR(ROUND((1-O14)*L14/O14,0),"")</calculatedColumnFormula>
    </tableColumn>
    <tableColumn id="8" xr3:uid="{F0C01375-547C-4FF7-9B45-CCFE17ACF3A8}" name="Impact no-show (€)" dataDxfId="69">
      <calculatedColumnFormula>ROUND(L14*M14,0)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2FB03C-1377-42D6-90A8-3CD8CDC215E7}" name="Tableau8" displayName="Tableau8" ref="B28:H33" totalsRowShown="0" headerRowDxfId="68" tableBorderDxfId="67">
  <autoFilter ref="B28:H33" xr:uid="{982FB03C-1377-42D6-90A8-3CD8CDC215E7}"/>
  <tableColumns count="7">
    <tableColumn id="1" xr3:uid="{852031C2-6F1E-4104-B259-BFA40F4ACF6C}" name="event_name" dataDxfId="66"/>
    <tableColumn id="2" xr3:uid="{4DD9C8F7-1127-46D7-9BD5-82CC64FF7688}" name="tickets_sold" dataDxfId="65"/>
    <tableColumn id="3" xr3:uid="{6802529A-A021-430B-AE86-017BD9F35159}" name="revenue" dataDxfId="64" dataCellStyle="Monétaire"/>
    <tableColumn id="4" xr3:uid="{FB063E14-F724-4020-8965-C483CF14706B}" name="no_show_rate" dataDxfId="63" dataCellStyle="Pourcentage"/>
    <tableColumn id="5" xr3:uid="{5FDAE1BE-C94A-4493-A751-77FBF01F64A3}" name="fill_rate" dataDxfId="62" dataCellStyle="Pourcentage"/>
    <tableColumn id="6" xr3:uid="{5C2227D0-1965-47C1-BBAA-FE6EE39C5E9C}" name="Capacité estimée" dataDxfId="61"/>
    <tableColumn id="7" xr3:uid="{37631151-63A1-49DB-9E99-47D6CB59EC8B}" name="Manque à gagner estimé" dataDxfId="60" dataCellStyle="Monétai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3F6942-B3FB-4785-888C-AC52E055A462}" name="Tableau9" displayName="Tableau9" ref="B35:I40" totalsRowShown="0" headerRowDxfId="59" dataDxfId="58" tableBorderDxfId="57">
  <autoFilter ref="B35:I40" xr:uid="{BC3F6942-B3FB-4785-888C-AC52E055A462}"/>
  <tableColumns count="8">
    <tableColumn id="1" xr3:uid="{5EC54259-55DE-49E7-803E-5333714B2349}" name="event_name" dataDxfId="56"/>
    <tableColumn id="2" xr3:uid="{F7D7FE82-AB8F-488E-A73D-5DAADFF8EE6E}" name="tickets_sold" dataDxfId="55"/>
    <tableColumn id="3" xr3:uid="{34BDF0AC-6C41-4B8A-845A-5C6588B9857D}" name="revenue" dataDxfId="54" dataCellStyle="Monétaire"/>
    <tableColumn id="4" xr3:uid="{1673ABF2-E28E-4349-BAB1-632A61E87D50}" name="no_show_rate" dataDxfId="53" dataCellStyle="Pourcentage"/>
    <tableColumn id="5" xr3:uid="{77DFDE88-C6B5-46E0-B70D-2DC30408BAD5}" name="fill_rate" dataDxfId="52" dataCellStyle="Pourcentage"/>
    <tableColumn id="6" xr3:uid="{FF365DDA-B88F-4213-8733-288D51A0BF06}" name="Capacité estimée" dataDxfId="51"/>
    <tableColumn id="7" xr3:uid="{60271DFE-05AC-4453-9E19-8ED465FD8CD4}" name="Manque à gagner estimé" dataDxfId="50" dataCellStyle="Monétaire"/>
    <tableColumn id="8" xr3:uid="{8351D736-CD9C-4CE2-80C1-28FC279D06A5}" name="Impact no-show (€)" dataDxfId="49" dataCellStyle="Monétai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EF143A-335A-4227-A52B-9336AF9D71A1}" name="Tableau13" displayName="Tableau13" ref="B46:E51" totalsRowShown="0" headerRowDxfId="48" dataDxfId="46" headerRowBorderDxfId="47" tableBorderDxfId="45" totalsRowBorderDxfId="44">
  <autoFilter ref="B46:E51" xr:uid="{94EF143A-335A-4227-A52B-9336AF9D71A1}"/>
  <tableColumns count="4">
    <tableColumn id="1" xr3:uid="{FDC1584E-8830-4F74-8EF0-096F9A4BD27F}" name="Action" dataDxfId="43"/>
    <tableColumn id="2" xr3:uid="{C3BE1861-4BB3-4810-B41D-D4956D26247B}" name="Cible" dataDxfId="42"/>
    <tableColumn id="3" xr3:uid="{E44A5745-11DE-4D8A-9DF3-08F60B01FA86}" name="KPI à suivre" dataDxfId="41"/>
    <tableColumn id="4" xr3:uid="{7D25F1DF-1B30-4D89-85E0-2DBA607997D7}" name="Timing" dataDxfId="40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C12B07-B9D7-4FE9-9F44-3C4B968E019A}" name="Tableau14" displayName="Tableau14" ref="M43:N57" totalsRowShown="0" headerRowDxfId="39">
  <autoFilter ref="M43:N57" xr:uid="{67C12B07-B9D7-4FE9-9F44-3C4B968E019A}"/>
  <tableColumns count="2">
    <tableColumn id="1" xr3:uid="{35F976EC-6748-4FC1-85D6-B34D03B4CDA7}" name="Jour" dataDxfId="38">
      <calculatedColumnFormula>M43+1</calculatedColumnFormula>
    </tableColumn>
    <tableColumn id="2" xr3:uid="{C02A4188-FFAD-47F5-A1F2-920664A9AD72}" name="CA">
      <calculatedColumnFormula>IFERROR(SUMIFS(DATA_kpi_daily[revenue],DATA_kpi_daily[purchase_day],M44),0)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5B77-0CE4-4932-8622-6EE032DCDC42}">
  <dimension ref="A3:B10"/>
  <sheetViews>
    <sheetView workbookViewId="0">
      <selection activeCell="A4" sqref="A4"/>
    </sheetView>
  </sheetViews>
  <sheetFormatPr baseColWidth="10" defaultRowHeight="15" x14ac:dyDescent="0.25"/>
  <cols>
    <col min="1" max="1" width="20.140625" bestFit="1" customWidth="1"/>
    <col min="2" max="2" width="17.5703125" bestFit="1" customWidth="1"/>
  </cols>
  <sheetData>
    <row r="3" spans="1:2" x14ac:dyDescent="0.25">
      <c r="A3" s="6" t="s">
        <v>102</v>
      </c>
      <c r="B3" t="s">
        <v>104</v>
      </c>
    </row>
    <row r="4" spans="1:2" x14ac:dyDescent="0.25">
      <c r="A4" s="7" t="s">
        <v>108</v>
      </c>
      <c r="B4" s="3">
        <v>1613.79</v>
      </c>
    </row>
    <row r="5" spans="1:2" x14ac:dyDescent="0.25">
      <c r="A5" s="7" t="s">
        <v>109</v>
      </c>
      <c r="B5" s="3">
        <v>22662.149999999998</v>
      </c>
    </row>
    <row r="6" spans="1:2" x14ac:dyDescent="0.25">
      <c r="A6" s="7" t="s">
        <v>110</v>
      </c>
      <c r="B6" s="3">
        <v>59919.909999999996</v>
      </c>
    </row>
    <row r="7" spans="1:2" x14ac:dyDescent="0.25">
      <c r="A7" s="7" t="s">
        <v>111</v>
      </c>
      <c r="B7" s="3">
        <v>81789.39999999998</v>
      </c>
    </row>
    <row r="8" spans="1:2" x14ac:dyDescent="0.25">
      <c r="A8" s="7" t="s">
        <v>112</v>
      </c>
      <c r="B8" s="3">
        <v>100749.20000000003</v>
      </c>
    </row>
    <row r="9" spans="1:2" x14ac:dyDescent="0.25">
      <c r="A9" s="7" t="s">
        <v>113</v>
      </c>
      <c r="B9" s="3">
        <v>32176.69</v>
      </c>
    </row>
    <row r="10" spans="1:2" x14ac:dyDescent="0.25">
      <c r="A10" s="7" t="s">
        <v>103</v>
      </c>
      <c r="B10" s="3">
        <v>298911.14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2B8D-786A-456D-9B9F-23529D2AFF3E}">
  <dimension ref="A1:H165"/>
  <sheetViews>
    <sheetView workbookViewId="0">
      <selection activeCell="C20" sqref="C20"/>
    </sheetView>
  </sheetViews>
  <sheetFormatPr baseColWidth="10" defaultRowHeight="15" x14ac:dyDescent="0.25"/>
  <cols>
    <col min="1" max="1" width="14.85546875" bestFit="1" customWidth="1"/>
    <col min="2" max="2" width="13.42578125" bestFit="1" customWidth="1"/>
    <col min="3" max="3" width="18.42578125" style="3" bestFit="1" customWidth="1"/>
    <col min="4" max="5" width="18.42578125" bestFit="1" customWidth="1"/>
    <col min="6" max="6" width="10.5703125" bestFit="1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46029</v>
      </c>
      <c r="B2">
        <v>1</v>
      </c>
      <c r="C2" s="3">
        <v>15.81</v>
      </c>
      <c r="D2">
        <v>15.81</v>
      </c>
      <c r="E2">
        <v>62</v>
      </c>
      <c r="F2">
        <v>1</v>
      </c>
    </row>
    <row r="3" spans="1:6" x14ac:dyDescent="0.25">
      <c r="A3" s="1">
        <v>46031</v>
      </c>
      <c r="B3">
        <v>1</v>
      </c>
      <c r="C3" s="3">
        <v>11.89</v>
      </c>
      <c r="D3">
        <v>11.89</v>
      </c>
      <c r="E3">
        <v>57</v>
      </c>
      <c r="F3">
        <v>1</v>
      </c>
    </row>
    <row r="4" spans="1:6" x14ac:dyDescent="0.25">
      <c r="A4" s="1">
        <v>46036</v>
      </c>
      <c r="B4">
        <v>3</v>
      </c>
      <c r="C4" s="3">
        <v>11.96</v>
      </c>
      <c r="D4">
        <v>5.98</v>
      </c>
      <c r="E4">
        <v>54.5</v>
      </c>
      <c r="F4">
        <v>2</v>
      </c>
    </row>
    <row r="5" spans="1:6" x14ac:dyDescent="0.25">
      <c r="A5" s="1">
        <v>46037</v>
      </c>
      <c r="B5">
        <v>5</v>
      </c>
      <c r="C5" s="3">
        <v>63.31</v>
      </c>
      <c r="D5">
        <v>21.1033333333333</v>
      </c>
      <c r="E5">
        <v>55.3333333333333</v>
      </c>
      <c r="F5">
        <v>3</v>
      </c>
    </row>
    <row r="6" spans="1:6" x14ac:dyDescent="0.25">
      <c r="A6" s="1">
        <v>46040</v>
      </c>
      <c r="B6">
        <v>1</v>
      </c>
      <c r="C6" s="3">
        <v>12.01</v>
      </c>
      <c r="D6">
        <v>12.01</v>
      </c>
      <c r="E6">
        <v>58</v>
      </c>
      <c r="F6">
        <v>1</v>
      </c>
    </row>
    <row r="7" spans="1:6" x14ac:dyDescent="0.25">
      <c r="A7" s="1">
        <v>46041</v>
      </c>
      <c r="B7">
        <v>1</v>
      </c>
      <c r="C7" s="3">
        <v>15.78</v>
      </c>
      <c r="D7">
        <v>15.78</v>
      </c>
      <c r="E7">
        <v>50</v>
      </c>
      <c r="F7">
        <v>1</v>
      </c>
    </row>
    <row r="8" spans="1:6" x14ac:dyDescent="0.25">
      <c r="A8" s="1">
        <v>46042</v>
      </c>
      <c r="B8">
        <v>6</v>
      </c>
      <c r="C8" s="3">
        <v>73.41</v>
      </c>
      <c r="D8">
        <v>24.47</v>
      </c>
      <c r="E8">
        <v>49.3333333333333</v>
      </c>
      <c r="F8">
        <v>3</v>
      </c>
    </row>
    <row r="9" spans="1:6" x14ac:dyDescent="0.25">
      <c r="A9" s="1">
        <v>46043</v>
      </c>
      <c r="B9">
        <v>1</v>
      </c>
      <c r="C9" s="3">
        <v>0</v>
      </c>
      <c r="D9">
        <v>0</v>
      </c>
      <c r="E9">
        <v>50</v>
      </c>
      <c r="F9">
        <v>1</v>
      </c>
    </row>
    <row r="10" spans="1:6" x14ac:dyDescent="0.25">
      <c r="A10" s="1">
        <v>46044</v>
      </c>
      <c r="B10">
        <v>12</v>
      </c>
      <c r="C10" s="3">
        <v>203.28</v>
      </c>
      <c r="D10">
        <v>29.04</v>
      </c>
      <c r="E10">
        <v>47</v>
      </c>
      <c r="F10">
        <v>7</v>
      </c>
    </row>
    <row r="11" spans="1:6" x14ac:dyDescent="0.25">
      <c r="A11" s="1">
        <v>46046</v>
      </c>
      <c r="B11">
        <v>6</v>
      </c>
      <c r="C11" s="3">
        <v>158.35</v>
      </c>
      <c r="D11">
        <v>39.587499999999999</v>
      </c>
      <c r="E11">
        <v>49.75</v>
      </c>
      <c r="F11">
        <v>4</v>
      </c>
    </row>
    <row r="12" spans="1:6" x14ac:dyDescent="0.25">
      <c r="A12" s="1">
        <v>46047</v>
      </c>
      <c r="B12">
        <v>9</v>
      </c>
      <c r="C12" s="3">
        <v>135.15</v>
      </c>
      <c r="D12">
        <v>19.3071428571428</v>
      </c>
      <c r="E12">
        <v>44.428571428571402</v>
      </c>
      <c r="F12">
        <v>7</v>
      </c>
    </row>
    <row r="13" spans="1:6" x14ac:dyDescent="0.25">
      <c r="A13" s="1">
        <v>46048</v>
      </c>
      <c r="B13">
        <v>3</v>
      </c>
      <c r="C13" s="3">
        <v>67.62</v>
      </c>
      <c r="D13">
        <v>33.81</v>
      </c>
      <c r="E13">
        <v>44</v>
      </c>
      <c r="F13">
        <v>2</v>
      </c>
    </row>
    <row r="14" spans="1:6" x14ac:dyDescent="0.25">
      <c r="A14" s="1">
        <v>46049</v>
      </c>
      <c r="B14">
        <v>3</v>
      </c>
      <c r="C14" s="3">
        <v>38.32</v>
      </c>
      <c r="D14">
        <v>19.16</v>
      </c>
      <c r="E14">
        <v>44</v>
      </c>
      <c r="F14">
        <v>2</v>
      </c>
    </row>
    <row r="15" spans="1:6" x14ac:dyDescent="0.25">
      <c r="A15" s="1">
        <v>46050</v>
      </c>
      <c r="B15">
        <v>9</v>
      </c>
      <c r="C15" s="3">
        <v>105.61</v>
      </c>
      <c r="D15">
        <v>21.122</v>
      </c>
      <c r="E15">
        <v>45.2</v>
      </c>
      <c r="F15">
        <v>5</v>
      </c>
    </row>
    <row r="16" spans="1:6" x14ac:dyDescent="0.25">
      <c r="A16" s="1">
        <v>46051</v>
      </c>
      <c r="B16">
        <v>17</v>
      </c>
      <c r="C16" s="3">
        <v>251.63</v>
      </c>
      <c r="D16">
        <v>25.163</v>
      </c>
      <c r="E16">
        <v>43.9</v>
      </c>
      <c r="F16">
        <v>10</v>
      </c>
    </row>
    <row r="17" spans="1:6" x14ac:dyDescent="0.25">
      <c r="A17" s="1">
        <v>46052</v>
      </c>
      <c r="B17">
        <v>5</v>
      </c>
      <c r="C17" s="3">
        <v>96.12</v>
      </c>
      <c r="D17">
        <v>24.03</v>
      </c>
      <c r="E17">
        <v>40.5</v>
      </c>
      <c r="F17">
        <v>4</v>
      </c>
    </row>
    <row r="18" spans="1:6" x14ac:dyDescent="0.25">
      <c r="A18" s="1">
        <v>46053</v>
      </c>
      <c r="B18">
        <v>20</v>
      </c>
      <c r="C18" s="3">
        <v>353.54</v>
      </c>
      <c r="D18">
        <v>32.14</v>
      </c>
      <c r="E18">
        <v>40.363636363636303</v>
      </c>
      <c r="F18">
        <v>11</v>
      </c>
    </row>
    <row r="19" spans="1:6" x14ac:dyDescent="0.25">
      <c r="A19" s="1">
        <v>46054</v>
      </c>
      <c r="B19">
        <v>12</v>
      </c>
      <c r="C19" s="3">
        <v>150.97</v>
      </c>
      <c r="D19">
        <v>18.87125</v>
      </c>
      <c r="E19">
        <v>40.25</v>
      </c>
      <c r="F19">
        <v>8</v>
      </c>
    </row>
    <row r="20" spans="1:6" x14ac:dyDescent="0.25">
      <c r="A20" s="1">
        <v>46055</v>
      </c>
      <c r="B20">
        <v>9</v>
      </c>
      <c r="C20" s="3">
        <v>188.78</v>
      </c>
      <c r="D20">
        <v>37.756</v>
      </c>
      <c r="E20">
        <v>44.6</v>
      </c>
      <c r="F20">
        <v>5</v>
      </c>
    </row>
    <row r="21" spans="1:6" x14ac:dyDescent="0.25">
      <c r="A21" s="1">
        <v>46056</v>
      </c>
      <c r="B21">
        <v>11</v>
      </c>
      <c r="C21" s="3">
        <v>185.8</v>
      </c>
      <c r="D21">
        <v>26.542857142857098</v>
      </c>
      <c r="E21">
        <v>35.857142857142797</v>
      </c>
      <c r="F21">
        <v>7</v>
      </c>
    </row>
    <row r="22" spans="1:6" x14ac:dyDescent="0.25">
      <c r="A22" s="1">
        <v>46057</v>
      </c>
      <c r="B22">
        <v>30</v>
      </c>
      <c r="C22" s="3">
        <v>382.52</v>
      </c>
      <c r="D22">
        <v>23.907499999999999</v>
      </c>
      <c r="E22">
        <v>37.9375</v>
      </c>
      <c r="F22">
        <v>16</v>
      </c>
    </row>
    <row r="23" spans="1:6" x14ac:dyDescent="0.25">
      <c r="A23" s="1">
        <v>46058</v>
      </c>
      <c r="B23">
        <v>10</v>
      </c>
      <c r="C23" s="3">
        <v>236.52</v>
      </c>
      <c r="D23">
        <v>33.788571428571402</v>
      </c>
      <c r="E23">
        <v>39.142857142857103</v>
      </c>
      <c r="F23">
        <v>7</v>
      </c>
    </row>
    <row r="24" spans="1:6" x14ac:dyDescent="0.25">
      <c r="A24" s="1">
        <v>46059</v>
      </c>
      <c r="B24">
        <v>20</v>
      </c>
      <c r="C24" s="3">
        <v>352.15</v>
      </c>
      <c r="D24">
        <v>23.476666666666599</v>
      </c>
      <c r="E24">
        <v>36.066666666666599</v>
      </c>
      <c r="F24">
        <v>15</v>
      </c>
    </row>
    <row r="25" spans="1:6" x14ac:dyDescent="0.25">
      <c r="A25" s="1">
        <v>46060</v>
      </c>
      <c r="B25">
        <v>12</v>
      </c>
      <c r="C25" s="3">
        <v>161.05000000000001</v>
      </c>
      <c r="D25">
        <v>16.105</v>
      </c>
      <c r="E25">
        <v>34.200000000000003</v>
      </c>
      <c r="F25">
        <v>10</v>
      </c>
    </row>
    <row r="26" spans="1:6" x14ac:dyDescent="0.25">
      <c r="A26" s="1">
        <v>46061</v>
      </c>
      <c r="B26">
        <v>24</v>
      </c>
      <c r="C26" s="3">
        <v>412.87</v>
      </c>
      <c r="D26">
        <v>25.804375</v>
      </c>
      <c r="E26">
        <v>30.875</v>
      </c>
      <c r="F26">
        <v>16</v>
      </c>
    </row>
    <row r="27" spans="1:6" x14ac:dyDescent="0.25">
      <c r="A27" s="1">
        <v>46062</v>
      </c>
      <c r="B27">
        <v>24</v>
      </c>
      <c r="C27" s="3">
        <v>382.49</v>
      </c>
      <c r="D27">
        <v>29.422307692307601</v>
      </c>
      <c r="E27">
        <v>31.692307692307601</v>
      </c>
      <c r="F27">
        <v>13</v>
      </c>
    </row>
    <row r="28" spans="1:6" x14ac:dyDescent="0.25">
      <c r="A28" s="1">
        <v>46063</v>
      </c>
      <c r="B28">
        <v>39</v>
      </c>
      <c r="C28" s="3">
        <v>689.7</v>
      </c>
      <c r="D28">
        <v>40.570588235294103</v>
      </c>
      <c r="E28">
        <v>33.529411764705799</v>
      </c>
      <c r="F28">
        <v>17</v>
      </c>
    </row>
    <row r="29" spans="1:6" x14ac:dyDescent="0.25">
      <c r="A29" s="1">
        <v>46064</v>
      </c>
      <c r="B29">
        <v>33</v>
      </c>
      <c r="C29" s="3">
        <v>716.46</v>
      </c>
      <c r="D29">
        <v>31.150434782608698</v>
      </c>
      <c r="E29">
        <v>31.695652173913</v>
      </c>
      <c r="F29">
        <v>23</v>
      </c>
    </row>
    <row r="30" spans="1:6" x14ac:dyDescent="0.25">
      <c r="A30" s="1">
        <v>46065</v>
      </c>
      <c r="B30">
        <v>37</v>
      </c>
      <c r="C30" s="3">
        <v>725.7</v>
      </c>
      <c r="D30">
        <v>38.1947368421052</v>
      </c>
      <c r="E30">
        <v>29.052631578947299</v>
      </c>
      <c r="F30">
        <v>19</v>
      </c>
    </row>
    <row r="31" spans="1:6" x14ac:dyDescent="0.25">
      <c r="A31" s="1">
        <v>46066</v>
      </c>
      <c r="B31">
        <v>44</v>
      </c>
      <c r="C31" s="3">
        <v>690.65</v>
      </c>
      <c r="D31">
        <v>27.626000000000001</v>
      </c>
      <c r="E31">
        <v>31.12</v>
      </c>
      <c r="F31">
        <v>25</v>
      </c>
    </row>
    <row r="32" spans="1:6" x14ac:dyDescent="0.25">
      <c r="A32" s="1">
        <v>46067</v>
      </c>
      <c r="B32">
        <v>42</v>
      </c>
      <c r="C32" s="3">
        <v>779.98</v>
      </c>
      <c r="D32">
        <v>32.499166666666603</v>
      </c>
      <c r="E32">
        <v>30.0416666666666</v>
      </c>
      <c r="F32">
        <v>24</v>
      </c>
    </row>
    <row r="33" spans="1:6" x14ac:dyDescent="0.25">
      <c r="A33" s="1">
        <v>46068</v>
      </c>
      <c r="B33">
        <v>24</v>
      </c>
      <c r="C33" s="3">
        <v>446.57</v>
      </c>
      <c r="D33">
        <v>23.503684210526298</v>
      </c>
      <c r="E33">
        <v>25.947368421052602</v>
      </c>
      <c r="F33">
        <v>19</v>
      </c>
    </row>
    <row r="34" spans="1:6" x14ac:dyDescent="0.25">
      <c r="A34" s="1">
        <v>46069</v>
      </c>
      <c r="B34">
        <v>49</v>
      </c>
      <c r="C34" s="3">
        <v>856.51</v>
      </c>
      <c r="D34">
        <v>28.550333333333299</v>
      </c>
      <c r="E34">
        <v>24.266666666666602</v>
      </c>
      <c r="F34">
        <v>30</v>
      </c>
    </row>
    <row r="35" spans="1:6" x14ac:dyDescent="0.25">
      <c r="A35" s="1">
        <v>46070</v>
      </c>
      <c r="B35">
        <v>32</v>
      </c>
      <c r="C35" s="3">
        <v>612.15</v>
      </c>
      <c r="D35">
        <v>30.607500000000002</v>
      </c>
      <c r="E35">
        <v>24.65</v>
      </c>
      <c r="F35">
        <v>20</v>
      </c>
    </row>
    <row r="36" spans="1:6" x14ac:dyDescent="0.25">
      <c r="A36" s="1">
        <v>46071</v>
      </c>
      <c r="B36">
        <v>65</v>
      </c>
      <c r="C36" s="3">
        <v>1028.1600000000001</v>
      </c>
      <c r="D36">
        <v>29.376000000000001</v>
      </c>
      <c r="E36">
        <v>23.514285714285698</v>
      </c>
      <c r="F36">
        <v>35</v>
      </c>
    </row>
    <row r="37" spans="1:6" x14ac:dyDescent="0.25">
      <c r="A37" s="1">
        <v>46072</v>
      </c>
      <c r="B37">
        <v>58</v>
      </c>
      <c r="C37" s="3">
        <v>959.04</v>
      </c>
      <c r="D37">
        <v>26.64</v>
      </c>
      <c r="E37">
        <v>23.2777777777777</v>
      </c>
      <c r="F37">
        <v>36</v>
      </c>
    </row>
    <row r="38" spans="1:6" x14ac:dyDescent="0.25">
      <c r="A38" s="1">
        <v>46073</v>
      </c>
      <c r="B38">
        <v>52</v>
      </c>
      <c r="C38" s="3">
        <v>898.5</v>
      </c>
      <c r="D38">
        <v>27.227272727272702</v>
      </c>
      <c r="E38">
        <v>24.2424242424242</v>
      </c>
      <c r="F38">
        <v>33</v>
      </c>
    </row>
    <row r="39" spans="1:6" x14ac:dyDescent="0.25">
      <c r="A39" s="1">
        <v>46074</v>
      </c>
      <c r="B39">
        <v>79</v>
      </c>
      <c r="C39" s="3">
        <v>1635.14</v>
      </c>
      <c r="D39">
        <v>34.0654166666666</v>
      </c>
      <c r="E39">
        <v>23.8125</v>
      </c>
      <c r="F39">
        <v>48</v>
      </c>
    </row>
    <row r="40" spans="1:6" x14ac:dyDescent="0.25">
      <c r="A40" s="1">
        <v>46075</v>
      </c>
      <c r="B40">
        <v>67</v>
      </c>
      <c r="C40" s="3">
        <v>1224.04</v>
      </c>
      <c r="D40">
        <v>33.082162162162099</v>
      </c>
      <c r="E40">
        <v>23.378378378378301</v>
      </c>
      <c r="F40">
        <v>37</v>
      </c>
    </row>
    <row r="41" spans="1:6" x14ac:dyDescent="0.25">
      <c r="A41" s="1">
        <v>46076</v>
      </c>
      <c r="B41">
        <v>64</v>
      </c>
      <c r="C41" s="3">
        <v>1183.67</v>
      </c>
      <c r="D41">
        <v>36.989687500000002</v>
      </c>
      <c r="E41">
        <v>22.65625</v>
      </c>
      <c r="F41">
        <v>32</v>
      </c>
    </row>
    <row r="42" spans="1:6" x14ac:dyDescent="0.25">
      <c r="A42" s="1">
        <v>46077</v>
      </c>
      <c r="B42">
        <v>84</v>
      </c>
      <c r="C42" s="3">
        <v>1401.74</v>
      </c>
      <c r="D42">
        <v>26.447924528301801</v>
      </c>
      <c r="E42">
        <v>20.792452830188601</v>
      </c>
      <c r="F42">
        <v>53</v>
      </c>
    </row>
    <row r="43" spans="1:6" x14ac:dyDescent="0.25">
      <c r="A43" s="1">
        <v>46078</v>
      </c>
      <c r="B43">
        <v>86</v>
      </c>
      <c r="C43" s="3">
        <v>1474.39</v>
      </c>
      <c r="D43">
        <v>27.818679245283001</v>
      </c>
      <c r="E43">
        <v>20.6037735849056</v>
      </c>
      <c r="F43">
        <v>53</v>
      </c>
    </row>
    <row r="44" spans="1:6" x14ac:dyDescent="0.25">
      <c r="A44" s="1">
        <v>46079</v>
      </c>
      <c r="B44">
        <v>79</v>
      </c>
      <c r="C44" s="3">
        <v>1728.59</v>
      </c>
      <c r="D44">
        <v>39.286136363636302</v>
      </c>
      <c r="E44">
        <v>18.113636363636299</v>
      </c>
      <c r="F44">
        <v>44</v>
      </c>
    </row>
    <row r="45" spans="1:6" x14ac:dyDescent="0.25">
      <c r="A45" s="1">
        <v>46080</v>
      </c>
      <c r="B45">
        <v>90</v>
      </c>
      <c r="C45" s="3">
        <v>1526.21</v>
      </c>
      <c r="D45">
        <v>31.7960416666666</v>
      </c>
      <c r="E45">
        <v>19.9375</v>
      </c>
      <c r="F45">
        <v>48</v>
      </c>
    </row>
    <row r="46" spans="1:6" x14ac:dyDescent="0.25">
      <c r="A46" s="1">
        <v>46081</v>
      </c>
      <c r="B46">
        <v>83</v>
      </c>
      <c r="C46" s="3">
        <v>1631.8</v>
      </c>
      <c r="D46">
        <v>31.3807692307692</v>
      </c>
      <c r="E46">
        <v>17.384615384615302</v>
      </c>
      <c r="F46">
        <v>52</v>
      </c>
    </row>
    <row r="47" spans="1:6" x14ac:dyDescent="0.25">
      <c r="A47" s="1">
        <v>46082</v>
      </c>
      <c r="B47">
        <v>96</v>
      </c>
      <c r="C47" s="3">
        <v>1748.14</v>
      </c>
      <c r="D47">
        <v>34.277254901960703</v>
      </c>
      <c r="E47">
        <v>18.745098039215598</v>
      </c>
      <c r="F47">
        <v>51</v>
      </c>
    </row>
    <row r="48" spans="1:6" x14ac:dyDescent="0.25">
      <c r="A48" s="1">
        <v>46083</v>
      </c>
      <c r="B48">
        <v>110</v>
      </c>
      <c r="C48" s="3">
        <v>1851.65</v>
      </c>
      <c r="D48">
        <v>34.289814814814797</v>
      </c>
      <c r="E48">
        <v>16.6111111111111</v>
      </c>
      <c r="F48">
        <v>54</v>
      </c>
    </row>
    <row r="49" spans="1:6" x14ac:dyDescent="0.25">
      <c r="A49" s="1">
        <v>46084</v>
      </c>
      <c r="B49">
        <v>92</v>
      </c>
      <c r="C49" s="3">
        <v>1480.02</v>
      </c>
      <c r="D49">
        <v>27.407777777777699</v>
      </c>
      <c r="E49">
        <v>17.870370370370299</v>
      </c>
      <c r="F49">
        <v>54</v>
      </c>
    </row>
    <row r="50" spans="1:6" x14ac:dyDescent="0.25">
      <c r="A50" s="1">
        <v>46085</v>
      </c>
      <c r="B50">
        <v>85</v>
      </c>
      <c r="C50" s="3">
        <v>1465.7</v>
      </c>
      <c r="D50">
        <v>30.535416666666599</v>
      </c>
      <c r="E50">
        <v>17.5</v>
      </c>
      <c r="F50">
        <v>48</v>
      </c>
    </row>
    <row r="51" spans="1:6" x14ac:dyDescent="0.25">
      <c r="A51" s="1">
        <v>46086</v>
      </c>
      <c r="B51">
        <v>98</v>
      </c>
      <c r="C51" s="3">
        <v>1600.88</v>
      </c>
      <c r="D51">
        <v>25.820645161290301</v>
      </c>
      <c r="E51">
        <v>18.0322580645161</v>
      </c>
      <c r="F51">
        <v>62</v>
      </c>
    </row>
    <row r="52" spans="1:6" x14ac:dyDescent="0.25">
      <c r="A52" s="1">
        <v>46087</v>
      </c>
      <c r="B52">
        <v>139</v>
      </c>
      <c r="C52" s="3">
        <v>2376.04</v>
      </c>
      <c r="D52">
        <v>29.333827160493801</v>
      </c>
      <c r="E52">
        <v>11.925925925925901</v>
      </c>
      <c r="F52">
        <v>81</v>
      </c>
    </row>
    <row r="53" spans="1:6" x14ac:dyDescent="0.25">
      <c r="A53" s="1">
        <v>46088</v>
      </c>
      <c r="B53">
        <v>92</v>
      </c>
      <c r="C53" s="3">
        <v>1750.47</v>
      </c>
      <c r="D53">
        <v>32.4161111111111</v>
      </c>
      <c r="E53">
        <v>16.907407407407401</v>
      </c>
      <c r="F53">
        <v>54</v>
      </c>
    </row>
    <row r="54" spans="1:6" x14ac:dyDescent="0.25">
      <c r="A54" s="1">
        <v>46089</v>
      </c>
      <c r="B54">
        <v>88</v>
      </c>
      <c r="C54" s="3">
        <v>1846.4</v>
      </c>
      <c r="D54">
        <v>36.203921568627401</v>
      </c>
      <c r="E54">
        <v>17.156862745098</v>
      </c>
      <c r="F54">
        <v>51</v>
      </c>
    </row>
    <row r="55" spans="1:6" x14ac:dyDescent="0.25">
      <c r="A55" s="1">
        <v>46090</v>
      </c>
      <c r="B55">
        <v>148</v>
      </c>
      <c r="C55" s="3">
        <v>2843.36</v>
      </c>
      <c r="D55">
        <v>35.542000000000002</v>
      </c>
      <c r="E55">
        <v>11.0875</v>
      </c>
      <c r="F55">
        <v>80</v>
      </c>
    </row>
    <row r="56" spans="1:6" x14ac:dyDescent="0.25">
      <c r="A56" s="1">
        <v>46091</v>
      </c>
      <c r="B56">
        <v>89</v>
      </c>
      <c r="C56" s="3">
        <v>1668.93</v>
      </c>
      <c r="D56">
        <v>32.724117647058797</v>
      </c>
      <c r="E56">
        <v>15.9411764705882</v>
      </c>
      <c r="F56">
        <v>51</v>
      </c>
    </row>
    <row r="57" spans="1:6" x14ac:dyDescent="0.25">
      <c r="A57" s="1">
        <v>46092</v>
      </c>
      <c r="B57">
        <v>95</v>
      </c>
      <c r="C57" s="3">
        <v>2240.52</v>
      </c>
      <c r="D57">
        <v>36.7298360655737</v>
      </c>
      <c r="E57">
        <v>17.262295081967199</v>
      </c>
      <c r="F57">
        <v>61</v>
      </c>
    </row>
    <row r="58" spans="1:6" x14ac:dyDescent="0.25">
      <c r="A58" s="1">
        <v>46093</v>
      </c>
      <c r="B58">
        <v>87</v>
      </c>
      <c r="C58" s="3">
        <v>1559.1</v>
      </c>
      <c r="D58">
        <v>29.416981132075399</v>
      </c>
      <c r="E58">
        <v>20.4905660377358</v>
      </c>
      <c r="F58">
        <v>53</v>
      </c>
    </row>
    <row r="59" spans="1:6" x14ac:dyDescent="0.25">
      <c r="A59" s="1">
        <v>46094</v>
      </c>
      <c r="B59">
        <v>80</v>
      </c>
      <c r="C59" s="3">
        <v>1354.1</v>
      </c>
      <c r="D59">
        <v>29.436956521739098</v>
      </c>
      <c r="E59">
        <v>16.9130434782608</v>
      </c>
      <c r="F59">
        <v>46</v>
      </c>
    </row>
    <row r="60" spans="1:6" x14ac:dyDescent="0.25">
      <c r="A60" s="1">
        <v>46095</v>
      </c>
      <c r="B60">
        <v>104</v>
      </c>
      <c r="C60" s="3">
        <v>1889.81</v>
      </c>
      <c r="D60">
        <v>32.582931034482698</v>
      </c>
      <c r="E60">
        <v>18.241379310344801</v>
      </c>
      <c r="F60">
        <v>58</v>
      </c>
    </row>
    <row r="61" spans="1:6" x14ac:dyDescent="0.25">
      <c r="A61" s="1">
        <v>46096</v>
      </c>
      <c r="B61">
        <v>126</v>
      </c>
      <c r="C61" s="3">
        <v>2049.33</v>
      </c>
      <c r="D61">
        <v>29.276142857142801</v>
      </c>
      <c r="E61">
        <v>15.4428571428571</v>
      </c>
      <c r="F61">
        <v>70</v>
      </c>
    </row>
    <row r="62" spans="1:6" x14ac:dyDescent="0.25">
      <c r="A62" s="1">
        <v>46097</v>
      </c>
      <c r="B62">
        <v>230</v>
      </c>
      <c r="C62" s="3">
        <v>3769.76</v>
      </c>
      <c r="D62">
        <v>29.6831496062992</v>
      </c>
      <c r="E62">
        <v>7.9527559055118102</v>
      </c>
      <c r="F62">
        <v>127</v>
      </c>
    </row>
    <row r="63" spans="1:6" x14ac:dyDescent="0.25">
      <c r="A63" s="1">
        <v>46098</v>
      </c>
      <c r="B63">
        <v>89</v>
      </c>
      <c r="C63" s="3">
        <v>1614.57</v>
      </c>
      <c r="D63">
        <v>30.463584905660301</v>
      </c>
      <c r="E63">
        <v>22.6603773584905</v>
      </c>
      <c r="F63">
        <v>53</v>
      </c>
    </row>
    <row r="64" spans="1:6" x14ac:dyDescent="0.25">
      <c r="A64" s="1">
        <v>46099</v>
      </c>
      <c r="B64">
        <v>91</v>
      </c>
      <c r="C64" s="3">
        <v>1451.35</v>
      </c>
      <c r="D64">
        <v>32.252222222222201</v>
      </c>
      <c r="E64">
        <v>18.733333333333299</v>
      </c>
      <c r="F64">
        <v>45</v>
      </c>
    </row>
    <row r="65" spans="1:6" x14ac:dyDescent="0.25">
      <c r="A65" s="1">
        <v>46100</v>
      </c>
      <c r="B65">
        <v>99</v>
      </c>
      <c r="C65" s="3">
        <v>1481.75</v>
      </c>
      <c r="D65">
        <v>24.290983606557301</v>
      </c>
      <c r="E65">
        <v>15.9344262295081</v>
      </c>
      <c r="F65">
        <v>61</v>
      </c>
    </row>
    <row r="66" spans="1:6" x14ac:dyDescent="0.25">
      <c r="A66" s="1">
        <v>46101</v>
      </c>
      <c r="B66">
        <v>77</v>
      </c>
      <c r="C66" s="3">
        <v>1312.87</v>
      </c>
      <c r="D66">
        <v>27.9334042553191</v>
      </c>
      <c r="E66">
        <v>19.212765957446798</v>
      </c>
      <c r="F66">
        <v>47</v>
      </c>
    </row>
    <row r="67" spans="1:6" x14ac:dyDescent="0.25">
      <c r="A67" s="1">
        <v>46102</v>
      </c>
      <c r="B67">
        <v>108</v>
      </c>
      <c r="C67" s="3">
        <v>1822.81</v>
      </c>
      <c r="D67">
        <v>29.8821311475409</v>
      </c>
      <c r="E67">
        <v>22.655737704918</v>
      </c>
      <c r="F67">
        <v>61</v>
      </c>
    </row>
    <row r="68" spans="1:6" x14ac:dyDescent="0.25">
      <c r="A68" s="1">
        <v>46103</v>
      </c>
      <c r="B68">
        <v>98</v>
      </c>
      <c r="C68" s="3">
        <v>1595.74</v>
      </c>
      <c r="D68">
        <v>31.9148</v>
      </c>
      <c r="E68">
        <v>21.12</v>
      </c>
      <c r="F68">
        <v>50</v>
      </c>
    </row>
    <row r="69" spans="1:6" x14ac:dyDescent="0.25">
      <c r="A69" s="1">
        <v>46104</v>
      </c>
      <c r="B69">
        <v>103</v>
      </c>
      <c r="C69" s="3">
        <v>1534.86</v>
      </c>
      <c r="D69">
        <v>22.571470588235201</v>
      </c>
      <c r="E69">
        <v>20.029411764705799</v>
      </c>
      <c r="F69">
        <v>68</v>
      </c>
    </row>
    <row r="70" spans="1:6" x14ac:dyDescent="0.25">
      <c r="A70" s="1">
        <v>46105</v>
      </c>
      <c r="B70">
        <v>126</v>
      </c>
      <c r="C70" s="3">
        <v>2131.81</v>
      </c>
      <c r="D70">
        <v>31.350147058823499</v>
      </c>
      <c r="E70">
        <v>17.058823529411701</v>
      </c>
      <c r="F70">
        <v>68</v>
      </c>
    </row>
    <row r="71" spans="1:6" x14ac:dyDescent="0.25">
      <c r="A71" s="1">
        <v>46106</v>
      </c>
      <c r="B71">
        <v>85</v>
      </c>
      <c r="C71" s="3">
        <v>1459.63</v>
      </c>
      <c r="D71">
        <v>27.540188679245201</v>
      </c>
      <c r="E71">
        <v>19.0566037735849</v>
      </c>
      <c r="F71">
        <v>53</v>
      </c>
    </row>
    <row r="72" spans="1:6" x14ac:dyDescent="0.25">
      <c r="A72" s="1">
        <v>46107</v>
      </c>
      <c r="B72">
        <v>89</v>
      </c>
      <c r="C72" s="3">
        <v>1584.62</v>
      </c>
      <c r="D72">
        <v>29.3448148148148</v>
      </c>
      <c r="E72">
        <v>18.407407407407401</v>
      </c>
      <c r="F72">
        <v>54</v>
      </c>
    </row>
    <row r="73" spans="1:6" x14ac:dyDescent="0.25">
      <c r="A73" s="1">
        <v>46108</v>
      </c>
      <c r="B73">
        <v>110</v>
      </c>
      <c r="C73" s="3">
        <v>1958.59</v>
      </c>
      <c r="D73">
        <v>30.602968749999999</v>
      </c>
      <c r="E73">
        <v>16.875</v>
      </c>
      <c r="F73">
        <v>64</v>
      </c>
    </row>
    <row r="74" spans="1:6" x14ac:dyDescent="0.25">
      <c r="A74" s="1">
        <v>46109</v>
      </c>
      <c r="B74">
        <v>127</v>
      </c>
      <c r="C74" s="3">
        <v>2431.84</v>
      </c>
      <c r="D74">
        <v>31.582337662337601</v>
      </c>
      <c r="E74">
        <v>16.662337662337599</v>
      </c>
      <c r="F74">
        <v>77</v>
      </c>
    </row>
    <row r="75" spans="1:6" x14ac:dyDescent="0.25">
      <c r="A75" s="1">
        <v>46110</v>
      </c>
      <c r="B75">
        <v>106</v>
      </c>
      <c r="C75" s="3">
        <v>1918.23</v>
      </c>
      <c r="D75">
        <v>29.5112307692307</v>
      </c>
      <c r="E75">
        <v>16.769230769230699</v>
      </c>
      <c r="F75">
        <v>65</v>
      </c>
    </row>
    <row r="76" spans="1:6" x14ac:dyDescent="0.25">
      <c r="A76" s="1">
        <v>46111</v>
      </c>
      <c r="B76">
        <v>214</v>
      </c>
      <c r="C76" s="3">
        <v>4202.04</v>
      </c>
      <c r="D76">
        <v>35.6105084745762</v>
      </c>
      <c r="E76">
        <v>11.364406779661</v>
      </c>
      <c r="F76">
        <v>118</v>
      </c>
    </row>
    <row r="77" spans="1:6" x14ac:dyDescent="0.25">
      <c r="A77" s="1">
        <v>46112</v>
      </c>
      <c r="B77">
        <v>108</v>
      </c>
      <c r="C77" s="3">
        <v>1924.99</v>
      </c>
      <c r="D77">
        <v>29.1665151515151</v>
      </c>
      <c r="E77">
        <v>18.090909090909001</v>
      </c>
      <c r="F77">
        <v>66</v>
      </c>
    </row>
    <row r="78" spans="1:6" x14ac:dyDescent="0.25">
      <c r="A78" s="1">
        <v>46113</v>
      </c>
      <c r="B78">
        <v>92</v>
      </c>
      <c r="C78" s="3">
        <v>1889.04</v>
      </c>
      <c r="D78">
        <v>30.967868852458999</v>
      </c>
      <c r="E78">
        <v>12.8524590163934</v>
      </c>
      <c r="F78">
        <v>61</v>
      </c>
    </row>
    <row r="79" spans="1:6" x14ac:dyDescent="0.25">
      <c r="A79" s="1">
        <v>46114</v>
      </c>
      <c r="B79">
        <v>96</v>
      </c>
      <c r="C79" s="3">
        <v>1673</v>
      </c>
      <c r="D79">
        <v>34.142857142857103</v>
      </c>
      <c r="E79">
        <v>17.755102040816301</v>
      </c>
      <c r="F79">
        <v>49</v>
      </c>
    </row>
    <row r="80" spans="1:6" x14ac:dyDescent="0.25">
      <c r="A80" s="1">
        <v>46115</v>
      </c>
      <c r="B80">
        <v>123</v>
      </c>
      <c r="C80" s="3">
        <v>2063.8000000000002</v>
      </c>
      <c r="D80">
        <v>29.067605633802799</v>
      </c>
      <c r="E80">
        <v>17.9295774647887</v>
      </c>
      <c r="F80">
        <v>71</v>
      </c>
    </row>
    <row r="81" spans="1:6" x14ac:dyDescent="0.25">
      <c r="A81" s="1">
        <v>46116</v>
      </c>
      <c r="B81">
        <v>108</v>
      </c>
      <c r="C81" s="3">
        <v>1815.87</v>
      </c>
      <c r="D81">
        <v>28.372968749999998</v>
      </c>
      <c r="E81">
        <v>18.40625</v>
      </c>
      <c r="F81">
        <v>64</v>
      </c>
    </row>
    <row r="82" spans="1:6" x14ac:dyDescent="0.25">
      <c r="A82" s="1">
        <v>46117</v>
      </c>
      <c r="B82">
        <v>114</v>
      </c>
      <c r="C82" s="3">
        <v>2331.1</v>
      </c>
      <c r="D82">
        <v>34.280882352941099</v>
      </c>
      <c r="E82">
        <v>18.411764705882302</v>
      </c>
      <c r="F82">
        <v>68</v>
      </c>
    </row>
    <row r="83" spans="1:6" x14ac:dyDescent="0.25">
      <c r="A83" s="1">
        <v>46118</v>
      </c>
      <c r="B83">
        <v>119</v>
      </c>
      <c r="C83" s="3">
        <v>2537.48</v>
      </c>
      <c r="D83">
        <v>35.739154929577403</v>
      </c>
      <c r="E83">
        <v>18.5352112676056</v>
      </c>
      <c r="F83">
        <v>71</v>
      </c>
    </row>
    <row r="84" spans="1:6" x14ac:dyDescent="0.25">
      <c r="A84" s="1">
        <v>46119</v>
      </c>
      <c r="B84">
        <v>271</v>
      </c>
      <c r="C84" s="3">
        <v>4536.6499999999996</v>
      </c>
      <c r="D84">
        <v>30.244333333333302</v>
      </c>
      <c r="E84">
        <v>7.6933333333333298</v>
      </c>
      <c r="F84">
        <v>150</v>
      </c>
    </row>
    <row r="85" spans="1:6" x14ac:dyDescent="0.25">
      <c r="A85" s="1">
        <v>46120</v>
      </c>
      <c r="B85">
        <v>116</v>
      </c>
      <c r="C85" s="3">
        <v>2302.34</v>
      </c>
      <c r="D85">
        <v>35.420615384615303</v>
      </c>
      <c r="E85">
        <v>17.723076923076899</v>
      </c>
      <c r="F85">
        <v>65</v>
      </c>
    </row>
    <row r="86" spans="1:6" x14ac:dyDescent="0.25">
      <c r="A86" s="1">
        <v>46121</v>
      </c>
      <c r="B86">
        <v>114</v>
      </c>
      <c r="C86" s="3">
        <v>2050.69</v>
      </c>
      <c r="D86">
        <v>31.071060606060598</v>
      </c>
      <c r="E86">
        <v>15.484848484848399</v>
      </c>
      <c r="F86">
        <v>66</v>
      </c>
    </row>
    <row r="87" spans="1:6" x14ac:dyDescent="0.25">
      <c r="A87" s="1">
        <v>46122</v>
      </c>
      <c r="B87">
        <v>116</v>
      </c>
      <c r="C87" s="3">
        <v>2478.54</v>
      </c>
      <c r="D87">
        <v>36.449117647058799</v>
      </c>
      <c r="E87">
        <v>16.764705882352899</v>
      </c>
      <c r="F87">
        <v>68</v>
      </c>
    </row>
    <row r="88" spans="1:6" x14ac:dyDescent="0.25">
      <c r="A88" s="1">
        <v>46123</v>
      </c>
      <c r="B88">
        <v>274</v>
      </c>
      <c r="C88" s="3">
        <v>4685.55</v>
      </c>
      <c r="D88">
        <v>27.725147928994001</v>
      </c>
      <c r="E88">
        <v>7.9230769230769198</v>
      </c>
      <c r="F88">
        <v>169</v>
      </c>
    </row>
    <row r="89" spans="1:6" x14ac:dyDescent="0.25">
      <c r="A89" s="1">
        <v>46124</v>
      </c>
      <c r="B89">
        <v>90</v>
      </c>
      <c r="C89" s="3">
        <v>1852.4</v>
      </c>
      <c r="D89">
        <v>43.079069767441801</v>
      </c>
      <c r="E89">
        <v>26.232558139534799</v>
      </c>
      <c r="F89">
        <v>43</v>
      </c>
    </row>
    <row r="90" spans="1:6" x14ac:dyDescent="0.25">
      <c r="A90" s="1">
        <v>46125</v>
      </c>
      <c r="B90">
        <v>97</v>
      </c>
      <c r="C90" s="3">
        <v>2148.62</v>
      </c>
      <c r="D90">
        <v>42.129803921568602</v>
      </c>
      <c r="E90">
        <v>26.411764705882302</v>
      </c>
      <c r="F90">
        <v>51</v>
      </c>
    </row>
    <row r="91" spans="1:6" x14ac:dyDescent="0.25">
      <c r="A91" s="1">
        <v>46126</v>
      </c>
      <c r="B91">
        <v>74</v>
      </c>
      <c r="C91" s="3">
        <v>1979.27</v>
      </c>
      <c r="D91">
        <v>41.234791666666602</v>
      </c>
      <c r="E91">
        <v>22.1666666666666</v>
      </c>
      <c r="F91">
        <v>48</v>
      </c>
    </row>
    <row r="92" spans="1:6" x14ac:dyDescent="0.25">
      <c r="A92" s="1">
        <v>46127</v>
      </c>
      <c r="B92">
        <v>85</v>
      </c>
      <c r="C92" s="3">
        <v>2193.85</v>
      </c>
      <c r="D92">
        <v>43.016666666666602</v>
      </c>
      <c r="E92">
        <v>20.6078431372549</v>
      </c>
      <c r="F92">
        <v>51</v>
      </c>
    </row>
    <row r="93" spans="1:6" x14ac:dyDescent="0.25">
      <c r="A93" s="1">
        <v>46128</v>
      </c>
      <c r="B93">
        <v>90</v>
      </c>
      <c r="C93" s="3">
        <v>1969.59</v>
      </c>
      <c r="D93">
        <v>41.9061702127659</v>
      </c>
      <c r="E93">
        <v>22.085106382978701</v>
      </c>
      <c r="F93">
        <v>47</v>
      </c>
    </row>
    <row r="94" spans="1:6" x14ac:dyDescent="0.25">
      <c r="A94" s="1">
        <v>46129</v>
      </c>
      <c r="B94">
        <v>112</v>
      </c>
      <c r="C94" s="3">
        <v>2652.63</v>
      </c>
      <c r="D94">
        <v>40.809692307692302</v>
      </c>
      <c r="E94">
        <v>23.338461538461502</v>
      </c>
      <c r="F94">
        <v>65</v>
      </c>
    </row>
    <row r="95" spans="1:6" x14ac:dyDescent="0.25">
      <c r="A95" s="1">
        <v>46130</v>
      </c>
      <c r="B95">
        <v>114</v>
      </c>
      <c r="C95" s="3">
        <v>2778.47</v>
      </c>
      <c r="D95">
        <v>42.745692307692302</v>
      </c>
      <c r="E95">
        <v>21.2615384615384</v>
      </c>
      <c r="F95">
        <v>65</v>
      </c>
    </row>
    <row r="96" spans="1:6" x14ac:dyDescent="0.25">
      <c r="A96" s="1">
        <v>46131</v>
      </c>
      <c r="B96">
        <v>91</v>
      </c>
      <c r="C96" s="3">
        <v>2180.4</v>
      </c>
      <c r="D96">
        <v>39.643636363636297</v>
      </c>
      <c r="E96">
        <v>24.272727272727199</v>
      </c>
      <c r="F96">
        <v>55</v>
      </c>
    </row>
    <row r="97" spans="1:6" x14ac:dyDescent="0.25">
      <c r="A97" s="1">
        <v>46132</v>
      </c>
      <c r="B97">
        <v>96</v>
      </c>
      <c r="C97" s="3">
        <v>2447.56</v>
      </c>
      <c r="D97">
        <v>45.325185185185099</v>
      </c>
      <c r="E97">
        <v>16.4444444444444</v>
      </c>
      <c r="F97">
        <v>54</v>
      </c>
    </row>
    <row r="98" spans="1:6" x14ac:dyDescent="0.25">
      <c r="A98" s="1">
        <v>46133</v>
      </c>
      <c r="B98">
        <v>135</v>
      </c>
      <c r="C98" s="3">
        <v>3334.71</v>
      </c>
      <c r="D98">
        <v>42.7526923076923</v>
      </c>
      <c r="E98">
        <v>20.179487179487101</v>
      </c>
      <c r="F98">
        <v>78</v>
      </c>
    </row>
    <row r="99" spans="1:6" x14ac:dyDescent="0.25">
      <c r="A99" s="1">
        <v>46134</v>
      </c>
      <c r="B99">
        <v>140</v>
      </c>
      <c r="C99" s="3">
        <v>3455.93</v>
      </c>
      <c r="D99">
        <v>42.145487804878002</v>
      </c>
      <c r="E99">
        <v>17.951219512195099</v>
      </c>
      <c r="F99">
        <v>82</v>
      </c>
    </row>
    <row r="100" spans="1:6" x14ac:dyDescent="0.25">
      <c r="A100" s="1">
        <v>46135</v>
      </c>
      <c r="B100">
        <v>252</v>
      </c>
      <c r="C100" s="3">
        <v>6636.88</v>
      </c>
      <c r="D100">
        <v>48.4443795620438</v>
      </c>
      <c r="E100">
        <v>11.8540145985401</v>
      </c>
      <c r="F100">
        <v>137</v>
      </c>
    </row>
    <row r="101" spans="1:6" x14ac:dyDescent="0.25">
      <c r="A101" s="1">
        <v>46136</v>
      </c>
      <c r="B101">
        <v>85</v>
      </c>
      <c r="C101" s="3">
        <v>1755.18</v>
      </c>
      <c r="D101">
        <v>38.156086956521698</v>
      </c>
      <c r="E101">
        <v>25.260869565217298</v>
      </c>
      <c r="F101">
        <v>46</v>
      </c>
    </row>
    <row r="102" spans="1:6" x14ac:dyDescent="0.25">
      <c r="A102" s="1">
        <v>46137</v>
      </c>
      <c r="B102">
        <v>122</v>
      </c>
      <c r="C102" s="3">
        <v>2642.51</v>
      </c>
      <c r="D102">
        <v>37.750142857142798</v>
      </c>
      <c r="E102">
        <v>24.514285714285698</v>
      </c>
      <c r="F102">
        <v>70</v>
      </c>
    </row>
    <row r="103" spans="1:6" x14ac:dyDescent="0.25">
      <c r="A103" s="1">
        <v>46138</v>
      </c>
      <c r="B103">
        <v>124</v>
      </c>
      <c r="C103" s="3">
        <v>2577.12</v>
      </c>
      <c r="D103">
        <v>33.469090909090902</v>
      </c>
      <c r="E103">
        <v>21.948051948051901</v>
      </c>
      <c r="F103">
        <v>77</v>
      </c>
    </row>
    <row r="104" spans="1:6" x14ac:dyDescent="0.25">
      <c r="A104" s="1">
        <v>46139</v>
      </c>
      <c r="B104">
        <v>150</v>
      </c>
      <c r="C104" s="3">
        <v>3018.63</v>
      </c>
      <c r="D104">
        <v>34.696896551724102</v>
      </c>
      <c r="E104">
        <v>21.459770114942501</v>
      </c>
      <c r="F104">
        <v>87</v>
      </c>
    </row>
    <row r="105" spans="1:6" x14ac:dyDescent="0.25">
      <c r="A105" s="1">
        <v>46140</v>
      </c>
      <c r="B105">
        <v>144</v>
      </c>
      <c r="C105" s="3">
        <v>3201.6</v>
      </c>
      <c r="D105">
        <v>36.799999999999997</v>
      </c>
      <c r="E105">
        <v>20.965517241379299</v>
      </c>
      <c r="F105">
        <v>87</v>
      </c>
    </row>
    <row r="106" spans="1:6" x14ac:dyDescent="0.25">
      <c r="A106" s="1">
        <v>46141</v>
      </c>
      <c r="B106">
        <v>137</v>
      </c>
      <c r="C106" s="3">
        <v>2996.45</v>
      </c>
      <c r="D106">
        <v>37.455624999999998</v>
      </c>
      <c r="E106">
        <v>21.1875</v>
      </c>
      <c r="F106">
        <v>80</v>
      </c>
    </row>
    <row r="107" spans="1:6" x14ac:dyDescent="0.25">
      <c r="A107" s="1">
        <v>46142</v>
      </c>
      <c r="B107">
        <v>176</v>
      </c>
      <c r="C107" s="3">
        <v>3603.54</v>
      </c>
      <c r="D107">
        <v>37.536875000000002</v>
      </c>
      <c r="E107">
        <v>21.0208333333333</v>
      </c>
      <c r="F107">
        <v>96</v>
      </c>
    </row>
    <row r="108" spans="1:6" x14ac:dyDescent="0.25">
      <c r="A108" s="1">
        <v>46143</v>
      </c>
      <c r="B108">
        <v>175</v>
      </c>
      <c r="C108" s="3">
        <v>2946.5</v>
      </c>
      <c r="D108">
        <v>27.53738317757</v>
      </c>
      <c r="E108">
        <v>14.6635514018691</v>
      </c>
      <c r="F108">
        <v>107</v>
      </c>
    </row>
    <row r="109" spans="1:6" x14ac:dyDescent="0.25">
      <c r="A109" s="1">
        <v>46144</v>
      </c>
      <c r="B109">
        <v>141</v>
      </c>
      <c r="C109" s="3">
        <v>2916.25</v>
      </c>
      <c r="D109">
        <v>35.564024390243901</v>
      </c>
      <c r="E109">
        <v>20.195121951219502</v>
      </c>
      <c r="F109">
        <v>82</v>
      </c>
    </row>
    <row r="110" spans="1:6" x14ac:dyDescent="0.25">
      <c r="A110" s="1">
        <v>46145</v>
      </c>
      <c r="B110">
        <v>157</v>
      </c>
      <c r="C110" s="3">
        <v>3487.16</v>
      </c>
      <c r="D110">
        <v>34.871600000000001</v>
      </c>
      <c r="E110">
        <v>19.73</v>
      </c>
      <c r="F110">
        <v>100</v>
      </c>
    </row>
    <row r="111" spans="1:6" x14ac:dyDescent="0.25">
      <c r="A111" s="1">
        <v>46146</v>
      </c>
      <c r="B111">
        <v>187</v>
      </c>
      <c r="C111" s="3">
        <v>4227.09</v>
      </c>
      <c r="D111">
        <v>41.442058823529401</v>
      </c>
      <c r="E111">
        <v>17.3333333333333</v>
      </c>
      <c r="F111">
        <v>102</v>
      </c>
    </row>
    <row r="112" spans="1:6" x14ac:dyDescent="0.25">
      <c r="A112" s="1">
        <v>46147</v>
      </c>
      <c r="B112">
        <v>191</v>
      </c>
      <c r="C112" s="3">
        <v>4419.2299999999996</v>
      </c>
      <c r="D112">
        <v>42.905145631067903</v>
      </c>
      <c r="E112">
        <v>17.427184466019401</v>
      </c>
      <c r="F112">
        <v>103</v>
      </c>
    </row>
    <row r="113" spans="1:6" x14ac:dyDescent="0.25">
      <c r="A113" s="1">
        <v>46148</v>
      </c>
      <c r="B113">
        <v>176</v>
      </c>
      <c r="C113" s="3">
        <v>3945.63</v>
      </c>
      <c r="D113">
        <v>41.100312500000001</v>
      </c>
      <c r="E113">
        <v>16.3854166666666</v>
      </c>
      <c r="F113">
        <v>96</v>
      </c>
    </row>
    <row r="114" spans="1:6" x14ac:dyDescent="0.25">
      <c r="A114" s="1">
        <v>46149</v>
      </c>
      <c r="B114">
        <v>187</v>
      </c>
      <c r="C114" s="3">
        <v>3733.1</v>
      </c>
      <c r="D114">
        <v>35.895192307692298</v>
      </c>
      <c r="E114">
        <v>17.490384615384599</v>
      </c>
      <c r="F114">
        <v>104</v>
      </c>
    </row>
    <row r="115" spans="1:6" x14ac:dyDescent="0.25">
      <c r="A115" s="1">
        <v>46150</v>
      </c>
      <c r="B115">
        <v>210</v>
      </c>
      <c r="C115" s="3">
        <v>4741.79</v>
      </c>
      <c r="D115">
        <v>39.188347107437998</v>
      </c>
      <c r="E115">
        <v>16.181818181818102</v>
      </c>
      <c r="F115">
        <v>121</v>
      </c>
    </row>
    <row r="116" spans="1:6" x14ac:dyDescent="0.25">
      <c r="A116" s="1">
        <v>46151</v>
      </c>
      <c r="B116">
        <v>156</v>
      </c>
      <c r="C116" s="3">
        <v>3350.94</v>
      </c>
      <c r="D116">
        <v>34.905625000000001</v>
      </c>
      <c r="E116">
        <v>15.7291666666666</v>
      </c>
      <c r="F116">
        <v>96</v>
      </c>
    </row>
    <row r="117" spans="1:6" x14ac:dyDescent="0.25">
      <c r="A117" s="1">
        <v>46152</v>
      </c>
      <c r="B117">
        <v>191</v>
      </c>
      <c r="C117" s="3">
        <v>3858.9</v>
      </c>
      <c r="D117">
        <v>35.080909090909003</v>
      </c>
      <c r="E117">
        <v>14.9</v>
      </c>
      <c r="F117">
        <v>110</v>
      </c>
    </row>
    <row r="118" spans="1:6" x14ac:dyDescent="0.25">
      <c r="A118" s="1">
        <v>46153</v>
      </c>
      <c r="B118">
        <v>203</v>
      </c>
      <c r="C118" s="3">
        <v>4338.95</v>
      </c>
      <c r="D118">
        <v>36.461764705882302</v>
      </c>
      <c r="E118">
        <v>12.218487394957901</v>
      </c>
      <c r="F118">
        <v>119</v>
      </c>
    </row>
    <row r="119" spans="1:6" x14ac:dyDescent="0.25">
      <c r="A119" s="1">
        <v>46154</v>
      </c>
      <c r="B119">
        <v>151</v>
      </c>
      <c r="C119" s="3">
        <v>3077.42</v>
      </c>
      <c r="D119">
        <v>34.577752808988699</v>
      </c>
      <c r="E119">
        <v>14.9213483146067</v>
      </c>
      <c r="F119">
        <v>89</v>
      </c>
    </row>
    <row r="120" spans="1:6" x14ac:dyDescent="0.25">
      <c r="A120" s="1">
        <v>46155</v>
      </c>
      <c r="B120">
        <v>151</v>
      </c>
      <c r="C120" s="3">
        <v>3190.44</v>
      </c>
      <c r="D120">
        <v>36.671724137931001</v>
      </c>
      <c r="E120">
        <v>12.586206896551699</v>
      </c>
      <c r="F120">
        <v>87</v>
      </c>
    </row>
    <row r="121" spans="1:6" x14ac:dyDescent="0.25">
      <c r="A121" s="1">
        <v>46156</v>
      </c>
      <c r="B121">
        <v>167</v>
      </c>
      <c r="C121" s="3">
        <v>3570.54</v>
      </c>
      <c r="D121">
        <v>35.705399999999997</v>
      </c>
      <c r="E121">
        <v>11.75</v>
      </c>
      <c r="F121">
        <v>100</v>
      </c>
    </row>
    <row r="122" spans="1:6" x14ac:dyDescent="0.25">
      <c r="A122" s="1">
        <v>46157</v>
      </c>
      <c r="B122">
        <v>224</v>
      </c>
      <c r="C122" s="3">
        <v>4546.95</v>
      </c>
      <c r="D122">
        <v>37.578099173553703</v>
      </c>
      <c r="E122">
        <v>11.479338842975199</v>
      </c>
      <c r="F122">
        <v>121</v>
      </c>
    </row>
    <row r="123" spans="1:6" x14ac:dyDescent="0.25">
      <c r="A123" s="1">
        <v>46158</v>
      </c>
      <c r="B123">
        <v>169</v>
      </c>
      <c r="C123" s="3">
        <v>3684.91</v>
      </c>
      <c r="D123">
        <v>37.988762886597897</v>
      </c>
      <c r="E123">
        <v>8.6288659793814393</v>
      </c>
      <c r="F123">
        <v>97</v>
      </c>
    </row>
    <row r="124" spans="1:6" x14ac:dyDescent="0.25">
      <c r="A124" s="1">
        <v>46159</v>
      </c>
      <c r="B124">
        <v>513</v>
      </c>
      <c r="C124" s="3">
        <v>11636.73</v>
      </c>
      <c r="D124">
        <v>39.313277027026999</v>
      </c>
      <c r="E124">
        <v>4.2837837837837798</v>
      </c>
      <c r="F124">
        <v>296</v>
      </c>
    </row>
    <row r="125" spans="1:6" x14ac:dyDescent="0.25">
      <c r="A125" s="1">
        <v>46160</v>
      </c>
      <c r="B125">
        <v>111</v>
      </c>
      <c r="C125" s="3">
        <v>2064.0700000000002</v>
      </c>
      <c r="D125">
        <v>29.071408450704201</v>
      </c>
      <c r="E125">
        <v>16.4647887323943</v>
      </c>
      <c r="F125">
        <v>71</v>
      </c>
    </row>
    <row r="126" spans="1:6" x14ac:dyDescent="0.25">
      <c r="A126" s="1">
        <v>46161</v>
      </c>
      <c r="B126">
        <v>95</v>
      </c>
      <c r="C126" s="3">
        <v>1871.1</v>
      </c>
      <c r="D126">
        <v>30.6737704918032</v>
      </c>
      <c r="E126">
        <v>14.032786885245899</v>
      </c>
      <c r="F126">
        <v>61</v>
      </c>
    </row>
    <row r="127" spans="1:6" x14ac:dyDescent="0.25">
      <c r="A127" s="1">
        <v>46162</v>
      </c>
      <c r="B127">
        <v>101</v>
      </c>
      <c r="C127" s="3">
        <v>1837.35</v>
      </c>
      <c r="D127">
        <v>32.809821428571396</v>
      </c>
      <c r="E127">
        <v>11.125</v>
      </c>
      <c r="F127">
        <v>56</v>
      </c>
    </row>
    <row r="128" spans="1:6" x14ac:dyDescent="0.25">
      <c r="A128" s="1">
        <v>46163</v>
      </c>
      <c r="B128">
        <v>216</v>
      </c>
      <c r="C128" s="3">
        <v>4727.83</v>
      </c>
      <c r="D128">
        <v>38.1276612903225</v>
      </c>
      <c r="E128">
        <v>6.0887096774193497</v>
      </c>
      <c r="F128">
        <v>124</v>
      </c>
    </row>
    <row r="129" spans="1:8" x14ac:dyDescent="0.25">
      <c r="A129" s="1">
        <v>46164</v>
      </c>
      <c r="B129">
        <v>72</v>
      </c>
      <c r="C129" s="3">
        <v>1197.95</v>
      </c>
      <c r="D129">
        <v>23.959</v>
      </c>
      <c r="E129">
        <v>17.239999999999998</v>
      </c>
      <c r="F129">
        <v>50</v>
      </c>
    </row>
    <row r="130" spans="1:8" x14ac:dyDescent="0.25">
      <c r="A130" s="1">
        <v>46165</v>
      </c>
      <c r="B130">
        <v>82</v>
      </c>
      <c r="C130" s="3">
        <v>1360.46</v>
      </c>
      <c r="D130">
        <v>25.193703703703701</v>
      </c>
      <c r="E130">
        <v>16.8333333333333</v>
      </c>
      <c r="F130">
        <v>54</v>
      </c>
    </row>
    <row r="131" spans="1:8" x14ac:dyDescent="0.25">
      <c r="A131" s="1">
        <v>46166</v>
      </c>
      <c r="B131">
        <v>90</v>
      </c>
      <c r="C131" s="3">
        <v>1526.2</v>
      </c>
      <c r="D131">
        <v>28.796226415094299</v>
      </c>
      <c r="E131">
        <v>13.4716981132075</v>
      </c>
      <c r="F131">
        <v>53</v>
      </c>
    </row>
    <row r="132" spans="1:8" x14ac:dyDescent="0.25">
      <c r="A132" s="1">
        <v>46167</v>
      </c>
      <c r="B132">
        <v>85</v>
      </c>
      <c r="C132" s="3">
        <v>1658.92</v>
      </c>
      <c r="D132">
        <v>29.623571428571399</v>
      </c>
      <c r="E132">
        <v>15.589285714285699</v>
      </c>
      <c r="F132">
        <v>56</v>
      </c>
    </row>
    <row r="133" spans="1:8" x14ac:dyDescent="0.25">
      <c r="A133" s="1">
        <v>46168</v>
      </c>
      <c r="B133">
        <v>89</v>
      </c>
      <c r="C133" s="3">
        <v>1458.55</v>
      </c>
      <c r="D133">
        <v>27.519811320754702</v>
      </c>
      <c r="E133">
        <v>16.018867924528301</v>
      </c>
      <c r="F133">
        <v>53</v>
      </c>
    </row>
    <row r="134" spans="1:8" x14ac:dyDescent="0.25">
      <c r="A134" s="1">
        <v>46169</v>
      </c>
      <c r="B134">
        <v>118</v>
      </c>
      <c r="C134" s="3">
        <v>1936.4</v>
      </c>
      <c r="D134">
        <v>26.8944444444444</v>
      </c>
      <c r="E134">
        <v>12.1111111111111</v>
      </c>
      <c r="F134">
        <v>72</v>
      </c>
    </row>
    <row r="135" spans="1:8" x14ac:dyDescent="0.25">
      <c r="A135" s="1">
        <v>46170</v>
      </c>
      <c r="B135">
        <v>125</v>
      </c>
      <c r="C135" s="3">
        <v>2166.9499999999998</v>
      </c>
      <c r="D135">
        <v>30.096527777777698</v>
      </c>
      <c r="E135">
        <v>10.6944444444444</v>
      </c>
      <c r="F135">
        <v>72</v>
      </c>
    </row>
    <row r="136" spans="1:8" x14ac:dyDescent="0.25">
      <c r="A136" s="1">
        <v>46171</v>
      </c>
      <c r="B136">
        <v>237</v>
      </c>
      <c r="C136" s="3">
        <v>3819.6</v>
      </c>
      <c r="D136">
        <v>27.089361702127601</v>
      </c>
      <c r="E136">
        <v>4.3333333333333304</v>
      </c>
      <c r="F136">
        <v>141</v>
      </c>
    </row>
    <row r="137" spans="1:8" x14ac:dyDescent="0.25">
      <c r="A137" s="1">
        <v>46172</v>
      </c>
      <c r="B137">
        <v>98</v>
      </c>
      <c r="C137" s="3">
        <v>1890.77</v>
      </c>
      <c r="D137">
        <v>37.815399999999997</v>
      </c>
      <c r="E137">
        <v>18.2</v>
      </c>
      <c r="F137">
        <v>50</v>
      </c>
    </row>
    <row r="138" spans="1:8" x14ac:dyDescent="0.25">
      <c r="A138" s="1">
        <v>46173</v>
      </c>
      <c r="B138">
        <v>88</v>
      </c>
      <c r="C138" s="3">
        <v>1560.52</v>
      </c>
      <c r="D138">
        <v>33.924347826086901</v>
      </c>
      <c r="E138">
        <v>17.065217391304301</v>
      </c>
      <c r="F138">
        <v>46</v>
      </c>
    </row>
    <row r="139" spans="1:8" x14ac:dyDescent="0.25">
      <c r="A139" s="1">
        <v>46174</v>
      </c>
      <c r="B139">
        <v>87</v>
      </c>
      <c r="C139" s="3">
        <v>1431.55</v>
      </c>
      <c r="D139">
        <v>28.069607843137199</v>
      </c>
      <c r="E139">
        <v>15.921568627450901</v>
      </c>
      <c r="F139">
        <v>51</v>
      </c>
    </row>
    <row r="140" spans="1:8" x14ac:dyDescent="0.25">
      <c r="A140" s="1">
        <v>46175</v>
      </c>
      <c r="B140">
        <v>63</v>
      </c>
      <c r="C140" s="3">
        <v>1127.0999999999999</v>
      </c>
      <c r="D140">
        <v>27.490243902439001</v>
      </c>
      <c r="E140">
        <v>14.097560975609699</v>
      </c>
      <c r="F140">
        <v>41</v>
      </c>
      <c r="H140" t="s">
        <v>101</v>
      </c>
    </row>
    <row r="141" spans="1:8" x14ac:dyDescent="0.25">
      <c r="A141" s="1">
        <v>46176</v>
      </c>
      <c r="B141">
        <v>83</v>
      </c>
      <c r="C141" s="3">
        <v>1509.75</v>
      </c>
      <c r="D141">
        <v>34.3125</v>
      </c>
      <c r="E141">
        <v>14.659090909090899</v>
      </c>
      <c r="F141">
        <v>44</v>
      </c>
    </row>
    <row r="142" spans="1:8" x14ac:dyDescent="0.25">
      <c r="A142" s="1">
        <v>46177</v>
      </c>
      <c r="B142">
        <v>108</v>
      </c>
      <c r="C142" s="3">
        <v>2030.16</v>
      </c>
      <c r="D142">
        <v>31.721250000000001</v>
      </c>
      <c r="E142">
        <v>10.109375</v>
      </c>
      <c r="F142">
        <v>64</v>
      </c>
    </row>
    <row r="143" spans="1:8" x14ac:dyDescent="0.25">
      <c r="A143" s="1">
        <v>46178</v>
      </c>
      <c r="B143">
        <v>88</v>
      </c>
      <c r="C143" s="3">
        <v>1605.06</v>
      </c>
      <c r="D143">
        <v>29.182909090909</v>
      </c>
      <c r="E143">
        <v>13.218181818181799</v>
      </c>
      <c r="F143">
        <v>55</v>
      </c>
    </row>
    <row r="144" spans="1:8" x14ac:dyDescent="0.25">
      <c r="A144" s="1">
        <v>46179</v>
      </c>
      <c r="B144">
        <v>90</v>
      </c>
      <c r="C144" s="3">
        <v>1464.44</v>
      </c>
      <c r="D144">
        <v>27.630943396226399</v>
      </c>
      <c r="E144">
        <v>13.452830188679201</v>
      </c>
      <c r="F144">
        <v>53</v>
      </c>
    </row>
    <row r="145" spans="1:6" x14ac:dyDescent="0.25">
      <c r="A145" s="1">
        <v>46180</v>
      </c>
      <c r="B145">
        <v>70</v>
      </c>
      <c r="C145" s="3">
        <v>1218.19</v>
      </c>
      <c r="D145">
        <v>28.33</v>
      </c>
      <c r="E145">
        <v>12.860465116279</v>
      </c>
      <c r="F145">
        <v>43</v>
      </c>
    </row>
    <row r="146" spans="1:6" x14ac:dyDescent="0.25">
      <c r="A146" s="1">
        <v>46181</v>
      </c>
      <c r="B146">
        <v>69</v>
      </c>
      <c r="C146" s="3">
        <v>1100.3399999999999</v>
      </c>
      <c r="D146">
        <v>25.007727272727202</v>
      </c>
      <c r="E146">
        <v>13.909090909090899</v>
      </c>
      <c r="F146">
        <v>44</v>
      </c>
    </row>
    <row r="147" spans="1:6" x14ac:dyDescent="0.25">
      <c r="A147" s="1">
        <v>46182</v>
      </c>
      <c r="B147">
        <v>73</v>
      </c>
      <c r="C147" s="3">
        <v>1165.2</v>
      </c>
      <c r="D147">
        <v>28.4195121951219</v>
      </c>
      <c r="E147">
        <v>11.1951219512195</v>
      </c>
      <c r="F147">
        <v>41</v>
      </c>
    </row>
    <row r="148" spans="1:6" x14ac:dyDescent="0.25">
      <c r="A148" s="1">
        <v>46183</v>
      </c>
      <c r="B148">
        <v>62</v>
      </c>
      <c r="C148" s="3">
        <v>1035.8</v>
      </c>
      <c r="D148">
        <v>25.895</v>
      </c>
      <c r="E148">
        <v>10.775</v>
      </c>
      <c r="F148">
        <v>40</v>
      </c>
    </row>
    <row r="149" spans="1:6" x14ac:dyDescent="0.25">
      <c r="A149" s="1">
        <v>46184</v>
      </c>
      <c r="B149">
        <v>117</v>
      </c>
      <c r="C149" s="3">
        <v>2171.4699999999998</v>
      </c>
      <c r="D149">
        <v>34.467777777777698</v>
      </c>
      <c r="E149">
        <v>8.6825396825396801</v>
      </c>
      <c r="F149">
        <v>63</v>
      </c>
    </row>
    <row r="150" spans="1:6" x14ac:dyDescent="0.25">
      <c r="A150" s="1">
        <v>46185</v>
      </c>
      <c r="B150">
        <v>115</v>
      </c>
      <c r="C150" s="3">
        <v>1855.79</v>
      </c>
      <c r="D150">
        <v>29.9320967741935</v>
      </c>
      <c r="E150">
        <v>8.2580645161290303</v>
      </c>
      <c r="F150">
        <v>62</v>
      </c>
    </row>
    <row r="151" spans="1:6" x14ac:dyDescent="0.25">
      <c r="A151" s="1">
        <v>46186</v>
      </c>
      <c r="B151">
        <v>95</v>
      </c>
      <c r="C151" s="3">
        <v>1932.78</v>
      </c>
      <c r="D151">
        <v>37.168846153846097</v>
      </c>
      <c r="E151">
        <v>5.6538461538461497</v>
      </c>
      <c r="F151">
        <v>52</v>
      </c>
    </row>
    <row r="152" spans="1:6" x14ac:dyDescent="0.25">
      <c r="A152" s="1">
        <v>46187</v>
      </c>
      <c r="B152">
        <v>264</v>
      </c>
      <c r="C152" s="3">
        <v>4591.32</v>
      </c>
      <c r="D152">
        <v>35.317846153846098</v>
      </c>
      <c r="E152">
        <v>2.3153846153846098</v>
      </c>
      <c r="F152">
        <v>130</v>
      </c>
    </row>
    <row r="153" spans="1:6" x14ac:dyDescent="0.25">
      <c r="A153" s="1">
        <v>46188</v>
      </c>
      <c r="B153">
        <v>41</v>
      </c>
      <c r="C153" s="3">
        <v>708.61</v>
      </c>
      <c r="D153">
        <v>28.3444</v>
      </c>
      <c r="E153">
        <v>10.44</v>
      </c>
      <c r="F153">
        <v>25</v>
      </c>
    </row>
    <row r="154" spans="1:6" x14ac:dyDescent="0.25">
      <c r="A154" s="1">
        <v>46189</v>
      </c>
      <c r="B154">
        <v>30</v>
      </c>
      <c r="C154" s="3">
        <v>487.08</v>
      </c>
      <c r="D154">
        <v>23.194285714285702</v>
      </c>
      <c r="E154">
        <v>10</v>
      </c>
      <c r="F154">
        <v>21</v>
      </c>
    </row>
    <row r="155" spans="1:6" x14ac:dyDescent="0.25">
      <c r="A155" s="1">
        <v>46190</v>
      </c>
      <c r="B155">
        <v>35</v>
      </c>
      <c r="C155" s="3">
        <v>421.84</v>
      </c>
      <c r="D155">
        <v>21.091999999999999</v>
      </c>
      <c r="E155">
        <v>8.1999999999999993</v>
      </c>
      <c r="F155">
        <v>20</v>
      </c>
    </row>
    <row r="156" spans="1:6" x14ac:dyDescent="0.25">
      <c r="A156" s="1">
        <v>46191</v>
      </c>
      <c r="B156">
        <v>68</v>
      </c>
      <c r="C156" s="3">
        <v>1206.56</v>
      </c>
      <c r="D156">
        <v>24.6236734693877</v>
      </c>
      <c r="E156">
        <v>3.65306122448979</v>
      </c>
      <c r="F156">
        <v>49</v>
      </c>
    </row>
    <row r="157" spans="1:6" x14ac:dyDescent="0.25">
      <c r="A157" s="1">
        <v>46192</v>
      </c>
      <c r="B157">
        <v>28</v>
      </c>
      <c r="C157" s="3">
        <v>361.87</v>
      </c>
      <c r="D157">
        <v>25.847857142857102</v>
      </c>
      <c r="E157">
        <v>8.71428571428571</v>
      </c>
      <c r="F157">
        <v>14</v>
      </c>
    </row>
    <row r="158" spans="1:6" x14ac:dyDescent="0.25">
      <c r="A158" s="1">
        <v>46193</v>
      </c>
      <c r="B158">
        <v>36</v>
      </c>
      <c r="C158" s="3">
        <v>709.31999999999903</v>
      </c>
      <c r="D158">
        <v>37.3326315789473</v>
      </c>
      <c r="E158">
        <v>7.2631578947368398</v>
      </c>
      <c r="F158">
        <v>19</v>
      </c>
    </row>
    <row r="159" spans="1:6" x14ac:dyDescent="0.25">
      <c r="A159" s="1">
        <v>46194</v>
      </c>
      <c r="B159">
        <v>24</v>
      </c>
      <c r="C159" s="3">
        <v>270.64</v>
      </c>
      <c r="D159">
        <v>20.818461538461499</v>
      </c>
      <c r="E159">
        <v>7</v>
      </c>
      <c r="F159">
        <v>13</v>
      </c>
    </row>
    <row r="160" spans="1:6" x14ac:dyDescent="0.25">
      <c r="A160" s="1">
        <v>46195</v>
      </c>
      <c r="B160">
        <v>29</v>
      </c>
      <c r="C160" s="3">
        <v>591.9</v>
      </c>
      <c r="D160">
        <v>39.46</v>
      </c>
      <c r="E160">
        <v>5.2</v>
      </c>
      <c r="F160">
        <v>15</v>
      </c>
    </row>
    <row r="161" spans="1:6" x14ac:dyDescent="0.25">
      <c r="A161" s="1">
        <v>46196</v>
      </c>
      <c r="B161">
        <v>26</v>
      </c>
      <c r="C161" s="3">
        <v>387.04</v>
      </c>
      <c r="D161">
        <v>27.645714285714199</v>
      </c>
      <c r="E161">
        <v>4.5714285714285703</v>
      </c>
      <c r="F161">
        <v>14</v>
      </c>
    </row>
    <row r="162" spans="1:6" x14ac:dyDescent="0.25">
      <c r="A162" s="1">
        <v>46197</v>
      </c>
      <c r="B162">
        <v>39</v>
      </c>
      <c r="C162" s="3">
        <v>566.87</v>
      </c>
      <c r="D162">
        <v>26.993809523809499</v>
      </c>
      <c r="E162">
        <v>3.6190476190476102</v>
      </c>
      <c r="F162">
        <v>21</v>
      </c>
    </row>
    <row r="163" spans="1:6" x14ac:dyDescent="0.25">
      <c r="A163" s="1">
        <v>46198</v>
      </c>
      <c r="B163">
        <v>43</v>
      </c>
      <c r="C163" s="3">
        <v>785.06</v>
      </c>
      <c r="D163">
        <v>31.4024</v>
      </c>
      <c r="E163">
        <v>1.76</v>
      </c>
      <c r="F163">
        <v>25</v>
      </c>
    </row>
    <row r="164" spans="1:6" x14ac:dyDescent="0.25">
      <c r="A164" s="1">
        <v>46199</v>
      </c>
      <c r="B164">
        <v>22</v>
      </c>
      <c r="C164" s="3">
        <v>217.6</v>
      </c>
      <c r="D164">
        <v>14.5066666666666</v>
      </c>
      <c r="E164">
        <v>2</v>
      </c>
      <c r="F164">
        <v>15</v>
      </c>
    </row>
    <row r="165" spans="1:6" x14ac:dyDescent="0.25">
      <c r="A165" s="1">
        <v>46200</v>
      </c>
      <c r="B165">
        <v>127</v>
      </c>
      <c r="C165" s="3">
        <v>1223.3499999999999</v>
      </c>
      <c r="D165">
        <v>18.820769230769201</v>
      </c>
      <c r="E165">
        <v>0.21538461538461501</v>
      </c>
      <c r="F165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7E21-2F54-4BE7-A985-727A071C30A0}">
  <dimension ref="A3:B14"/>
  <sheetViews>
    <sheetView workbookViewId="0">
      <selection activeCell="B21" sqref="B21"/>
    </sheetView>
  </sheetViews>
  <sheetFormatPr baseColWidth="10" defaultRowHeight="15" x14ac:dyDescent="0.25"/>
  <cols>
    <col min="1" max="1" width="23.5703125" bestFit="1" customWidth="1"/>
    <col min="2" max="2" width="18.42578125" bestFit="1" customWidth="1"/>
    <col min="3" max="13" width="7.85546875" bestFit="1" customWidth="1"/>
    <col min="14" max="14" width="6.85546875" bestFit="1" customWidth="1"/>
    <col min="15" max="15" width="7.85546875" bestFit="1" customWidth="1"/>
    <col min="16" max="16" width="6.85546875" bestFit="1" customWidth="1"/>
    <col min="17" max="22" width="8.85546875" bestFit="1" customWidth="1"/>
    <col min="23" max="23" width="7.85546875" bestFit="1" customWidth="1"/>
    <col min="24" max="25" width="8.85546875" bestFit="1" customWidth="1"/>
    <col min="26" max="26" width="12" bestFit="1" customWidth="1"/>
  </cols>
  <sheetData>
    <row r="3" spans="1:2" x14ac:dyDescent="0.25">
      <c r="A3" s="6" t="s">
        <v>102</v>
      </c>
      <c r="B3" t="s">
        <v>104</v>
      </c>
    </row>
    <row r="4" spans="1:2" x14ac:dyDescent="0.25">
      <c r="A4" s="7" t="s">
        <v>56</v>
      </c>
      <c r="B4" s="63">
        <v>60938.65</v>
      </c>
    </row>
    <row r="5" spans="1:2" x14ac:dyDescent="0.25">
      <c r="A5" s="7" t="s">
        <v>19</v>
      </c>
      <c r="B5" s="63">
        <v>27654.45</v>
      </c>
    </row>
    <row r="6" spans="1:2" x14ac:dyDescent="0.25">
      <c r="A6" s="7" t="s">
        <v>28</v>
      </c>
      <c r="B6" s="63">
        <v>23478.3</v>
      </c>
    </row>
    <row r="7" spans="1:2" x14ac:dyDescent="0.25">
      <c r="A7" s="7" t="s">
        <v>16</v>
      </c>
      <c r="B7" s="63">
        <v>21645.67</v>
      </c>
    </row>
    <row r="8" spans="1:2" x14ac:dyDescent="0.25">
      <c r="A8" s="7" t="s">
        <v>33</v>
      </c>
      <c r="B8" s="63">
        <v>18073.07</v>
      </c>
    </row>
    <row r="9" spans="1:2" x14ac:dyDescent="0.25">
      <c r="A9" s="7" t="s">
        <v>61</v>
      </c>
      <c r="B9" s="63">
        <v>14553.74</v>
      </c>
    </row>
    <row r="10" spans="1:2" x14ac:dyDescent="0.25">
      <c r="A10" s="7" t="s">
        <v>46</v>
      </c>
      <c r="B10" s="63">
        <v>13238.34</v>
      </c>
    </row>
    <row r="11" spans="1:2" x14ac:dyDescent="0.25">
      <c r="A11" s="7" t="s">
        <v>42</v>
      </c>
      <c r="B11" s="63">
        <v>10505.24</v>
      </c>
    </row>
    <row r="12" spans="1:2" x14ac:dyDescent="0.25">
      <c r="A12" s="7" t="s">
        <v>70</v>
      </c>
      <c r="B12" s="63">
        <v>10016.74</v>
      </c>
    </row>
    <row r="13" spans="1:2" x14ac:dyDescent="0.25">
      <c r="A13" s="7" t="s">
        <v>52</v>
      </c>
      <c r="B13" s="63">
        <v>8999.5</v>
      </c>
    </row>
    <row r="14" spans="1:2" x14ac:dyDescent="0.25">
      <c r="A14" s="7" t="s">
        <v>103</v>
      </c>
      <c r="B14" s="63">
        <v>209103.7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346E-7EA9-4372-AA79-D41BD0A07A4C}">
  <dimension ref="A1:M25"/>
  <sheetViews>
    <sheetView zoomScale="80" zoomScaleNormal="80" workbookViewId="0">
      <selection activeCell="G36" sqref="G36"/>
    </sheetView>
  </sheetViews>
  <sheetFormatPr baseColWidth="10" defaultRowHeight="15" x14ac:dyDescent="0.25"/>
  <cols>
    <col min="1" max="1" width="14.28515625" bestFit="1" customWidth="1"/>
    <col min="2" max="2" width="13.42578125" bestFit="1" customWidth="1"/>
    <col min="3" max="3" width="10.42578125" bestFit="1" customWidth="1"/>
    <col min="4" max="4" width="18.42578125" bestFit="1" customWidth="1"/>
    <col min="5" max="5" width="15.42578125" style="1" bestFit="1" customWidth="1"/>
    <col min="6" max="6" width="15.42578125" bestFit="1" customWidth="1"/>
    <col min="7" max="7" width="18.42578125" bestFit="1" customWidth="1"/>
    <col min="8" max="8" width="22.42578125" bestFit="1" customWidth="1"/>
    <col min="9" max="9" width="20.28515625" bestFit="1" customWidth="1"/>
    <col min="10" max="10" width="16.85546875" bestFit="1" customWidth="1"/>
    <col min="11" max="11" width="10.140625" bestFit="1" customWidth="1"/>
    <col min="12" max="12" width="18.42578125" bestFit="1" customWidth="1"/>
  </cols>
  <sheetData>
    <row r="1" spans="1:13" x14ac:dyDescent="0.25">
      <c r="A1" t="s">
        <v>6</v>
      </c>
      <c r="B1" t="s">
        <v>1</v>
      </c>
      <c r="C1" t="s">
        <v>2</v>
      </c>
      <c r="D1" t="s">
        <v>3</v>
      </c>
      <c r="E1" s="1" t="s">
        <v>7</v>
      </c>
      <c r="F1" t="s">
        <v>8</v>
      </c>
      <c r="G1" t="s">
        <v>9</v>
      </c>
      <c r="H1" t="s">
        <v>10</v>
      </c>
      <c r="I1" t="s">
        <v>11</v>
      </c>
      <c r="J1" s="1" t="s">
        <v>12</v>
      </c>
      <c r="K1" t="s">
        <v>13</v>
      </c>
      <c r="L1" t="s">
        <v>14</v>
      </c>
      <c r="M1" t="s">
        <v>72</v>
      </c>
    </row>
    <row r="2" spans="1:13" x14ac:dyDescent="0.25">
      <c r="A2" t="s">
        <v>15</v>
      </c>
      <c r="B2">
        <v>568</v>
      </c>
      <c r="C2">
        <v>21645.67</v>
      </c>
      <c r="D2">
        <v>66.397760736196304</v>
      </c>
      <c r="E2" s="1">
        <v>45711.173611111109</v>
      </c>
      <c r="F2" s="1">
        <v>45770.75</v>
      </c>
      <c r="G2">
        <v>7.6687116564417096E-2</v>
      </c>
      <c r="H2" t="s">
        <v>16</v>
      </c>
      <c r="I2" t="s">
        <v>17</v>
      </c>
      <c r="J2" s="1">
        <v>46135.791666666664</v>
      </c>
      <c r="K2">
        <v>400</v>
      </c>
      <c r="L2">
        <v>0.78500000000000003</v>
      </c>
      <c r="M2" t="str">
        <f>IFERROR(INDEX(DATA_dim_events!$G:$G,MATCH($A2,DATA_dim_events!$A:$A,0)),"")</f>
        <v>Conférence</v>
      </c>
    </row>
    <row r="3" spans="1:13" x14ac:dyDescent="0.25">
      <c r="A3" t="s">
        <v>18</v>
      </c>
      <c r="B3">
        <v>1459</v>
      </c>
      <c r="C3">
        <v>27654.45</v>
      </c>
      <c r="D3">
        <v>33.479963680387399</v>
      </c>
      <c r="E3" s="1">
        <v>45754.326388888891</v>
      </c>
      <c r="F3" s="1">
        <v>45822.708333333336</v>
      </c>
      <c r="G3">
        <v>8.8377723970944302E-2</v>
      </c>
      <c r="H3" t="s">
        <v>19</v>
      </c>
      <c r="I3" t="s">
        <v>20</v>
      </c>
      <c r="J3" s="1">
        <v>46187.75</v>
      </c>
      <c r="K3">
        <v>1200</v>
      </c>
      <c r="L3">
        <v>0.69833333333333303</v>
      </c>
      <c r="M3" t="str">
        <f>IFERROR(INDEX(DATA_dim_events!$G:$G,MATCH($A3,DATA_dim_events!$A:$A,0)),"")</f>
        <v>Théâtre</v>
      </c>
    </row>
    <row r="4" spans="1:13" x14ac:dyDescent="0.25">
      <c r="A4" t="s">
        <v>21</v>
      </c>
      <c r="B4">
        <v>347</v>
      </c>
      <c r="C4">
        <v>4533.5200000000004</v>
      </c>
      <c r="D4">
        <v>22.443168316831599</v>
      </c>
      <c r="E4" s="1">
        <v>45666.479166666664</v>
      </c>
      <c r="F4" s="1">
        <v>45722.708333333336</v>
      </c>
      <c r="G4">
        <v>9.4059405940594004E-2</v>
      </c>
      <c r="H4" t="s">
        <v>22</v>
      </c>
      <c r="I4" t="s">
        <v>23</v>
      </c>
      <c r="J4" s="1">
        <v>46087.75</v>
      </c>
      <c r="K4">
        <v>250</v>
      </c>
      <c r="L4">
        <v>0.49199999999999999</v>
      </c>
      <c r="M4" t="str">
        <f>IFERROR(INDEX(DATA_dim_events!$G:$G,MATCH($A4,DATA_dim_events!$A:$A,0)),"")</f>
        <v>Projection</v>
      </c>
    </row>
    <row r="5" spans="1:13" x14ac:dyDescent="0.25">
      <c r="A5" t="s">
        <v>24</v>
      </c>
      <c r="B5">
        <v>182</v>
      </c>
      <c r="C5">
        <v>5596.17</v>
      </c>
      <c r="D5">
        <v>51.816388888888802</v>
      </c>
      <c r="E5" s="1">
        <v>45776.520833333336</v>
      </c>
      <c r="F5" s="1">
        <v>45833.708333333336</v>
      </c>
      <c r="G5">
        <v>6.4814814814814797E-2</v>
      </c>
      <c r="H5" t="s">
        <v>25</v>
      </c>
      <c r="I5" t="s">
        <v>26</v>
      </c>
      <c r="J5" s="1">
        <v>46198.75</v>
      </c>
      <c r="K5">
        <v>150</v>
      </c>
      <c r="L5">
        <v>0.55333333333333301</v>
      </c>
      <c r="M5" t="str">
        <f>IFERROR(INDEX(DATA_dim_events!$G:$G,MATCH($A5,DATA_dim_events!$A:$A,0)),"")</f>
        <v>Théâtre</v>
      </c>
    </row>
    <row r="6" spans="1:13" x14ac:dyDescent="0.25">
      <c r="A6" t="s">
        <v>27</v>
      </c>
      <c r="B6">
        <v>994</v>
      </c>
      <c r="C6">
        <v>23478.3</v>
      </c>
      <c r="D6">
        <v>41.19</v>
      </c>
      <c r="E6" s="1">
        <v>45736.305555555555</v>
      </c>
      <c r="F6" s="1">
        <v>45798.75</v>
      </c>
      <c r="G6">
        <v>7.0175438596491196E-2</v>
      </c>
      <c r="H6" t="s">
        <v>28</v>
      </c>
      <c r="I6" t="s">
        <v>26</v>
      </c>
      <c r="J6" s="1">
        <v>46163.791666666664</v>
      </c>
      <c r="K6">
        <v>700</v>
      </c>
      <c r="L6">
        <v>0.51142857142857101</v>
      </c>
      <c r="M6" t="str">
        <f>IFERROR(INDEX(DATA_dim_events!$G:$G,MATCH($A6,DATA_dim_events!$A:$A,0)),"")</f>
        <v>Projection</v>
      </c>
    </row>
    <row r="7" spans="1:13" x14ac:dyDescent="0.25">
      <c r="A7" t="s">
        <v>29</v>
      </c>
      <c r="B7">
        <v>146</v>
      </c>
      <c r="C7">
        <v>5787.47</v>
      </c>
      <c r="D7">
        <v>68.087882352941094</v>
      </c>
      <c r="E7" s="1">
        <v>45681.527777777781</v>
      </c>
      <c r="F7" s="1">
        <v>45748.833333333336</v>
      </c>
      <c r="G7">
        <v>0.129411764705882</v>
      </c>
      <c r="H7" t="s">
        <v>30</v>
      </c>
      <c r="I7" t="s">
        <v>31</v>
      </c>
      <c r="J7" s="1">
        <v>46113.875</v>
      </c>
      <c r="K7">
        <v>150</v>
      </c>
      <c r="L7">
        <v>0.76666666666666605</v>
      </c>
      <c r="M7" t="str">
        <f>IFERROR(INDEX(DATA_dim_events!$G:$G,MATCH($A7,DATA_dim_events!$A:$A,0)),"")</f>
        <v>Festival</v>
      </c>
    </row>
    <row r="8" spans="1:13" x14ac:dyDescent="0.25">
      <c r="A8" t="s">
        <v>32</v>
      </c>
      <c r="B8">
        <v>1396</v>
      </c>
      <c r="C8">
        <v>18073.07</v>
      </c>
      <c r="D8">
        <v>22.506936488169298</v>
      </c>
      <c r="E8" s="1">
        <v>45698.541666666664</v>
      </c>
      <c r="F8" s="1">
        <v>45758.791666666664</v>
      </c>
      <c r="G8">
        <v>9.7135740971357395E-2</v>
      </c>
      <c r="H8" t="s">
        <v>33</v>
      </c>
      <c r="I8" t="s">
        <v>31</v>
      </c>
      <c r="J8" s="1">
        <v>46123.833333333336</v>
      </c>
      <c r="K8">
        <v>1200</v>
      </c>
      <c r="L8">
        <v>0.78249999999999997</v>
      </c>
      <c r="M8" t="str">
        <f>IFERROR(INDEX(DATA_dim_events!$G:$G,MATCH($A8,DATA_dim_events!$A:$A,0)),"")</f>
        <v>Stand-up</v>
      </c>
    </row>
    <row r="9" spans="1:13" x14ac:dyDescent="0.25">
      <c r="A9" t="s">
        <v>34</v>
      </c>
      <c r="B9">
        <v>323</v>
      </c>
      <c r="C9">
        <v>4194.96</v>
      </c>
      <c r="D9">
        <v>21.963141361256501</v>
      </c>
      <c r="E9" s="1">
        <v>45685.291666666664</v>
      </c>
      <c r="F9" s="1">
        <v>45735.791666666664</v>
      </c>
      <c r="G9">
        <v>8.9005235602094196E-2</v>
      </c>
      <c r="H9" t="s">
        <v>35</v>
      </c>
      <c r="I9" t="s">
        <v>17</v>
      </c>
      <c r="J9" s="1">
        <v>46100.833333333336</v>
      </c>
      <c r="K9">
        <v>250</v>
      </c>
      <c r="L9">
        <v>0.9</v>
      </c>
      <c r="M9" t="str">
        <f>IFERROR(INDEX(DATA_dim_events!$G:$G,MATCH($A9,DATA_dim_events!$A:$A,0)),"")</f>
        <v>Concert</v>
      </c>
    </row>
    <row r="10" spans="1:13" x14ac:dyDescent="0.25">
      <c r="A10" t="s">
        <v>36</v>
      </c>
      <c r="B10">
        <v>450</v>
      </c>
      <c r="C10">
        <v>8741.7000000000007</v>
      </c>
      <c r="D10">
        <v>34.689285714285703</v>
      </c>
      <c r="E10" s="1">
        <v>45664.694444444445</v>
      </c>
      <c r="F10" s="1">
        <v>45725.833333333336</v>
      </c>
      <c r="G10">
        <v>9.1269841269841195E-2</v>
      </c>
      <c r="H10" t="s">
        <v>37</v>
      </c>
      <c r="I10" t="s">
        <v>38</v>
      </c>
      <c r="J10" s="1">
        <v>46090.875</v>
      </c>
      <c r="K10">
        <v>400</v>
      </c>
      <c r="L10">
        <v>0.58750000000000002</v>
      </c>
      <c r="M10" t="str">
        <f>IFERROR(INDEX(DATA_dim_events!$G:$G,MATCH($A10,DATA_dim_events!$A:$A,0)),"")</f>
        <v>Danse</v>
      </c>
    </row>
    <row r="11" spans="1:13" x14ac:dyDescent="0.25">
      <c r="A11" t="s">
        <v>39</v>
      </c>
      <c r="B11">
        <v>469</v>
      </c>
      <c r="C11">
        <v>7366.46</v>
      </c>
      <c r="D11">
        <v>26.6900724637681</v>
      </c>
      <c r="E11" s="1">
        <v>45672.590277777781</v>
      </c>
      <c r="F11" s="1">
        <v>45732.791666666664</v>
      </c>
      <c r="G11">
        <v>7.6086956521739094E-2</v>
      </c>
      <c r="H11" t="s">
        <v>40</v>
      </c>
      <c r="I11" t="s">
        <v>17</v>
      </c>
      <c r="J11" s="1">
        <v>46097.833333333336</v>
      </c>
      <c r="K11">
        <v>400</v>
      </c>
      <c r="L11">
        <v>0.65249999999999997</v>
      </c>
      <c r="M11" t="str">
        <f>IFERROR(INDEX(DATA_dim_events!$G:$G,MATCH($A11,DATA_dim_events!$A:$A,0)),"")</f>
        <v>Projection</v>
      </c>
    </row>
    <row r="12" spans="1:13" x14ac:dyDescent="0.25">
      <c r="A12" t="s">
        <v>41</v>
      </c>
      <c r="B12">
        <v>803</v>
      </c>
      <c r="C12">
        <v>10505.24</v>
      </c>
      <c r="D12">
        <v>22.2098097251585</v>
      </c>
      <c r="E12" s="1">
        <v>45702.5625</v>
      </c>
      <c r="F12" s="1">
        <v>45754.708333333336</v>
      </c>
      <c r="G12">
        <v>6.9767441860465101E-2</v>
      </c>
      <c r="H12" t="s">
        <v>42</v>
      </c>
      <c r="I12" t="s">
        <v>38</v>
      </c>
      <c r="J12" s="1">
        <v>46119.75</v>
      </c>
      <c r="K12">
        <v>700</v>
      </c>
      <c r="L12">
        <v>0.82857142857142796</v>
      </c>
      <c r="M12" t="str">
        <f>IFERROR(INDEX(DATA_dim_events!$G:$G,MATCH($A12,DATA_dim_events!$A:$A,0)),"")</f>
        <v>Danse</v>
      </c>
    </row>
    <row r="13" spans="1:13" x14ac:dyDescent="0.25">
      <c r="A13" t="s">
        <v>43</v>
      </c>
      <c r="B13">
        <v>533</v>
      </c>
      <c r="C13">
        <v>8378.89</v>
      </c>
      <c r="D13">
        <v>26.855416666666599</v>
      </c>
      <c r="E13" s="1">
        <v>45679.604166666664</v>
      </c>
      <c r="F13" s="1">
        <v>45732.75</v>
      </c>
      <c r="G13">
        <v>9.2948717948717896E-2</v>
      </c>
      <c r="H13" t="s">
        <v>44</v>
      </c>
      <c r="I13" t="s">
        <v>26</v>
      </c>
      <c r="J13" s="1">
        <v>46097.791666666664</v>
      </c>
      <c r="K13">
        <v>400</v>
      </c>
      <c r="L13">
        <v>0.9325</v>
      </c>
      <c r="M13" t="str">
        <f>IFERROR(INDEX(DATA_dim_events!$G:$G,MATCH($A13,DATA_dim_events!$A:$A,0)),"")</f>
        <v>Concert</v>
      </c>
    </row>
    <row r="14" spans="1:13" x14ac:dyDescent="0.25">
      <c r="A14" t="s">
        <v>45</v>
      </c>
      <c r="B14">
        <v>535</v>
      </c>
      <c r="C14">
        <v>13238.34</v>
      </c>
      <c r="D14">
        <v>43.547171052631498</v>
      </c>
      <c r="E14" s="1">
        <v>45716.472222222219</v>
      </c>
      <c r="F14" s="1">
        <v>45770.833333333336</v>
      </c>
      <c r="G14">
        <v>7.8947368421052599E-2</v>
      </c>
      <c r="H14" t="s">
        <v>46</v>
      </c>
      <c r="I14" t="s">
        <v>17</v>
      </c>
      <c r="J14" s="1">
        <v>46135.875</v>
      </c>
      <c r="K14">
        <v>400</v>
      </c>
      <c r="L14">
        <v>0.65</v>
      </c>
      <c r="M14" t="str">
        <f>IFERROR(INDEX(DATA_dim_events!$G:$G,MATCH($A14,DATA_dim_events!$A:$A,0)),"")</f>
        <v>Danse</v>
      </c>
    </row>
    <row r="15" spans="1:13" x14ac:dyDescent="0.25">
      <c r="A15" t="s">
        <v>47</v>
      </c>
      <c r="B15">
        <v>294</v>
      </c>
      <c r="C15">
        <v>5828.59</v>
      </c>
      <c r="D15">
        <v>33.887151162790701</v>
      </c>
      <c r="E15" s="1">
        <v>45728.729166666664</v>
      </c>
      <c r="F15" s="1">
        <v>45788.791666666664</v>
      </c>
      <c r="G15">
        <v>7.5581395348837205E-2</v>
      </c>
      <c r="H15" t="s">
        <v>48</v>
      </c>
      <c r="I15" t="s">
        <v>38</v>
      </c>
      <c r="J15" s="1">
        <v>46153.833333333336</v>
      </c>
      <c r="K15">
        <v>250</v>
      </c>
      <c r="L15">
        <v>0.628</v>
      </c>
      <c r="M15" t="str">
        <f>IFERROR(INDEX(DATA_dim_events!$G:$G,MATCH($A15,DATA_dim_events!$A:$A,0)),"")</f>
        <v>Conférence</v>
      </c>
    </row>
    <row r="16" spans="1:13" x14ac:dyDescent="0.25">
      <c r="A16" t="s">
        <v>49</v>
      </c>
      <c r="B16">
        <v>838</v>
      </c>
      <c r="C16">
        <v>8429.15</v>
      </c>
      <c r="D16">
        <v>17.6711740041928</v>
      </c>
      <c r="E16" s="1">
        <v>45780.666666666664</v>
      </c>
      <c r="F16" s="1">
        <v>45835.75</v>
      </c>
      <c r="G16">
        <v>9.8532494758909794E-2</v>
      </c>
      <c r="H16" t="s">
        <v>50</v>
      </c>
      <c r="I16" t="s">
        <v>31</v>
      </c>
      <c r="J16" s="1">
        <v>46200.791666666664</v>
      </c>
      <c r="K16">
        <v>700</v>
      </c>
      <c r="L16">
        <v>0.875714285714285</v>
      </c>
      <c r="M16" t="str">
        <f>IFERROR(INDEX(DATA_dim_events!$G:$G,MATCH($A16,DATA_dim_events!$A:$A,0)),"")</f>
        <v>Théâtre</v>
      </c>
    </row>
    <row r="17" spans="1:13" x14ac:dyDescent="0.25">
      <c r="A17" t="s">
        <v>51</v>
      </c>
      <c r="B17">
        <v>703</v>
      </c>
      <c r="C17">
        <v>8999.5</v>
      </c>
      <c r="D17">
        <v>21.427380952380901</v>
      </c>
      <c r="E17" s="1">
        <v>45747.402777777781</v>
      </c>
      <c r="F17" s="1">
        <v>45806.833333333336</v>
      </c>
      <c r="G17">
        <v>7.6190476190476197E-2</v>
      </c>
      <c r="H17" t="s">
        <v>52</v>
      </c>
      <c r="I17" t="s">
        <v>26</v>
      </c>
      <c r="J17" s="1">
        <v>46171.875</v>
      </c>
      <c r="K17">
        <v>700</v>
      </c>
      <c r="L17">
        <v>0.42</v>
      </c>
      <c r="M17" t="str">
        <f>IFERROR(INDEX(DATA_dim_events!$G:$G,MATCH($A17,DATA_dim_events!$A:$A,0)),"")</f>
        <v>Projection</v>
      </c>
    </row>
    <row r="18" spans="1:13" x14ac:dyDescent="0.25">
      <c r="A18" t="s">
        <v>53</v>
      </c>
      <c r="B18">
        <v>229</v>
      </c>
      <c r="C18">
        <v>8910.31</v>
      </c>
      <c r="D18">
        <v>61.877152777777702</v>
      </c>
      <c r="E18" s="1">
        <v>45671.194444444445</v>
      </c>
      <c r="F18" s="1">
        <v>45727.708333333336</v>
      </c>
      <c r="G18">
        <v>9.0277777777777707E-2</v>
      </c>
      <c r="H18" t="s">
        <v>54</v>
      </c>
      <c r="I18" t="s">
        <v>26</v>
      </c>
      <c r="J18" s="1">
        <v>46092.791666666664</v>
      </c>
      <c r="K18">
        <v>150</v>
      </c>
      <c r="L18">
        <v>0.8</v>
      </c>
      <c r="M18" t="str">
        <f>IFERROR(INDEX(DATA_dim_events!$G:$G,MATCH($A18,DATA_dim_events!$A:$A,0)),"")</f>
        <v>Stand-up</v>
      </c>
    </row>
    <row r="19" spans="1:13" x14ac:dyDescent="0.25">
      <c r="A19" t="s">
        <v>55</v>
      </c>
      <c r="B19">
        <v>2509</v>
      </c>
      <c r="C19">
        <v>60938.65</v>
      </c>
      <c r="D19">
        <v>42.055659075224199</v>
      </c>
      <c r="E19" s="1">
        <v>45731.631944444445</v>
      </c>
      <c r="F19" s="1">
        <v>45794.791666666664</v>
      </c>
      <c r="G19">
        <v>8.1435472739820505E-2</v>
      </c>
      <c r="H19" t="s">
        <v>56</v>
      </c>
      <c r="I19" t="s">
        <v>57</v>
      </c>
      <c r="J19" s="1">
        <v>46159.833333333336</v>
      </c>
      <c r="K19">
        <v>2000</v>
      </c>
      <c r="L19">
        <v>0.67949999999999999</v>
      </c>
      <c r="M19" t="str">
        <f>IFERROR(INDEX(DATA_dim_events!$G:$G,MATCH($A19,DATA_dim_events!$A:$A,0)),"")</f>
        <v>Danse</v>
      </c>
    </row>
    <row r="20" spans="1:13" x14ac:dyDescent="0.25">
      <c r="A20" t="s">
        <v>58</v>
      </c>
      <c r="B20">
        <v>459</v>
      </c>
      <c r="C20">
        <v>4781.08</v>
      </c>
      <c r="D20">
        <v>18.67609375</v>
      </c>
      <c r="E20" s="1">
        <v>45717.527777777781</v>
      </c>
      <c r="F20" s="1">
        <v>45778.75</v>
      </c>
      <c r="G20">
        <v>8.59375E-2</v>
      </c>
      <c r="H20" t="s">
        <v>59</v>
      </c>
      <c r="I20" t="s">
        <v>26</v>
      </c>
      <c r="J20" s="1">
        <v>46143.791666666664</v>
      </c>
      <c r="K20">
        <v>400</v>
      </c>
      <c r="L20">
        <v>0.83250000000000002</v>
      </c>
      <c r="M20" t="str">
        <f>IFERROR(INDEX(DATA_dim_events!$G:$G,MATCH($A20,DATA_dim_events!$A:$A,0)),"")</f>
        <v>Concert</v>
      </c>
    </row>
    <row r="21" spans="1:13" x14ac:dyDescent="0.25">
      <c r="A21" t="s">
        <v>60</v>
      </c>
      <c r="B21">
        <v>937</v>
      </c>
      <c r="C21">
        <v>14553.74</v>
      </c>
      <c r="D21">
        <v>26.7041100917431</v>
      </c>
      <c r="E21" s="1">
        <v>45735.305555555555</v>
      </c>
      <c r="F21" s="1">
        <v>45806.75</v>
      </c>
      <c r="G21">
        <v>8.9908256880733894E-2</v>
      </c>
      <c r="H21" t="s">
        <v>61</v>
      </c>
      <c r="I21" t="s">
        <v>62</v>
      </c>
      <c r="J21" s="1">
        <v>46171.791666666664</v>
      </c>
      <c r="K21">
        <v>700</v>
      </c>
      <c r="L21">
        <v>0.432857142857142</v>
      </c>
      <c r="M21" t="str">
        <f>IFERROR(INDEX(DATA_dim_events!$G:$G,MATCH($A21,DATA_dim_events!$A:$A,0)),"")</f>
        <v>Conférence</v>
      </c>
    </row>
    <row r="22" spans="1:13" x14ac:dyDescent="0.25">
      <c r="A22" t="s">
        <v>63</v>
      </c>
      <c r="B22">
        <v>327</v>
      </c>
      <c r="C22">
        <v>6075.22</v>
      </c>
      <c r="D22">
        <v>32.144021164021098</v>
      </c>
      <c r="E22" s="1">
        <v>45776.298611111109</v>
      </c>
      <c r="F22" s="1">
        <v>45826.791666666664</v>
      </c>
      <c r="G22">
        <v>8.4656084656084596E-2</v>
      </c>
      <c r="H22" t="s">
        <v>64</v>
      </c>
      <c r="I22" t="s">
        <v>20</v>
      </c>
      <c r="J22" s="1">
        <v>46191.833333333336</v>
      </c>
      <c r="K22">
        <v>250</v>
      </c>
      <c r="L22">
        <v>0.89600000000000002</v>
      </c>
      <c r="M22" t="str">
        <f>IFERROR(INDEX(DATA_dim_events!$G:$G,MATCH($A22,DATA_dim_events!$A:$A,0)),"")</f>
        <v>Stand-up</v>
      </c>
    </row>
    <row r="23" spans="1:13" x14ac:dyDescent="0.25">
      <c r="A23" t="s">
        <v>65</v>
      </c>
      <c r="B23">
        <v>191</v>
      </c>
      <c r="C23">
        <v>6045.81</v>
      </c>
      <c r="D23">
        <v>53.980446428571398</v>
      </c>
      <c r="E23" s="1">
        <v>45750.270833333336</v>
      </c>
      <c r="F23" s="1">
        <v>45794.791666666664</v>
      </c>
      <c r="G23">
        <v>0.125</v>
      </c>
      <c r="H23" t="s">
        <v>66</v>
      </c>
      <c r="I23" t="s">
        <v>23</v>
      </c>
      <c r="J23" s="1">
        <v>46159.833333333336</v>
      </c>
      <c r="K23">
        <v>150</v>
      </c>
      <c r="L23">
        <v>0.62666666666666604</v>
      </c>
      <c r="M23" t="str">
        <f>IFERROR(INDEX(DATA_dim_events!$G:$G,MATCH($A23,DATA_dim_events!$A:$A,0)),"")</f>
        <v>Conférence</v>
      </c>
    </row>
    <row r="24" spans="1:13" x14ac:dyDescent="0.25">
      <c r="A24" t="s">
        <v>67</v>
      </c>
      <c r="B24">
        <v>273</v>
      </c>
      <c r="C24">
        <v>5138.1099999999997</v>
      </c>
      <c r="D24">
        <v>31.3299390243902</v>
      </c>
      <c r="E24" s="1">
        <v>45762.284722222219</v>
      </c>
      <c r="F24" s="1">
        <v>45812.708333333336</v>
      </c>
      <c r="G24">
        <v>7.3170731707316999E-2</v>
      </c>
      <c r="H24" t="s">
        <v>68</v>
      </c>
      <c r="I24" t="s">
        <v>20</v>
      </c>
      <c r="J24" s="1">
        <v>46177.75</v>
      </c>
      <c r="K24">
        <v>250</v>
      </c>
      <c r="L24">
        <v>0.66</v>
      </c>
      <c r="M24" t="str">
        <f>IFERROR(INDEX(DATA_dim_events!$G:$G,MATCH($A24,DATA_dim_events!$A:$A,0)),"")</f>
        <v>Théâtre</v>
      </c>
    </row>
    <row r="25" spans="1:13" x14ac:dyDescent="0.25">
      <c r="A25" t="s">
        <v>69</v>
      </c>
      <c r="B25">
        <v>531</v>
      </c>
      <c r="C25">
        <v>10016.74</v>
      </c>
      <c r="D25">
        <v>31.900445859872601</v>
      </c>
      <c r="E25" s="1">
        <v>45689.256944444445</v>
      </c>
      <c r="F25" s="1">
        <v>45746.75</v>
      </c>
      <c r="G25">
        <v>0.101910828025477</v>
      </c>
      <c r="H25" t="s">
        <v>70</v>
      </c>
      <c r="I25" t="s">
        <v>57</v>
      </c>
      <c r="J25" s="1">
        <v>46111.791666666664</v>
      </c>
      <c r="K25">
        <v>400</v>
      </c>
      <c r="L25">
        <v>0.57999999999999996</v>
      </c>
      <c r="M25" t="str">
        <f>IFERROR(INDEX(DATA_dim_events!$G:$G,MATCH($A25,DATA_dim_events!$A:$A,0)),"")</f>
        <v>Danse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E1AB-CC7C-4649-AB24-EE26FC78AD37}">
  <dimension ref="A1:H25"/>
  <sheetViews>
    <sheetView workbookViewId="0">
      <selection activeCell="C15" sqref="C15"/>
    </sheetView>
  </sheetViews>
  <sheetFormatPr baseColWidth="10" defaultRowHeight="15" x14ac:dyDescent="0.25"/>
  <cols>
    <col min="1" max="1" width="10.7109375" bestFit="1" customWidth="1"/>
    <col min="2" max="2" width="22.42578125" bestFit="1" customWidth="1"/>
    <col min="3" max="3" width="20.28515625" bestFit="1" customWidth="1"/>
    <col min="4" max="4" width="16.85546875" bestFit="1" customWidth="1"/>
    <col min="5" max="5" width="10.140625" bestFit="1" customWidth="1"/>
    <col min="6" max="6" width="12.42578125" bestFit="1" customWidth="1"/>
    <col min="7" max="7" width="10.7109375" bestFit="1" customWidth="1"/>
    <col min="8" max="8" width="15.140625" bestFit="1" customWidth="1"/>
  </cols>
  <sheetData>
    <row r="1" spans="1:8" x14ac:dyDescent="0.25">
      <c r="A1" t="s">
        <v>6</v>
      </c>
      <c r="B1" t="s">
        <v>10</v>
      </c>
      <c r="C1" t="s">
        <v>11</v>
      </c>
      <c r="D1" t="s">
        <v>12</v>
      </c>
      <c r="E1" t="s">
        <v>13</v>
      </c>
      <c r="F1" t="s">
        <v>71</v>
      </c>
      <c r="G1" t="s">
        <v>72</v>
      </c>
      <c r="H1" t="s">
        <v>73</v>
      </c>
    </row>
    <row r="2" spans="1:8" x14ac:dyDescent="0.25">
      <c r="A2" t="s">
        <v>21</v>
      </c>
      <c r="B2" t="s">
        <v>22</v>
      </c>
      <c r="C2" t="s">
        <v>23</v>
      </c>
      <c r="D2" s="2">
        <v>46087.75</v>
      </c>
      <c r="E2">
        <v>250</v>
      </c>
      <c r="F2">
        <v>15</v>
      </c>
      <c r="G2" t="s">
        <v>74</v>
      </c>
      <c r="H2" t="s">
        <v>75</v>
      </c>
    </row>
    <row r="3" spans="1:8" x14ac:dyDescent="0.25">
      <c r="A3" t="s">
        <v>36</v>
      </c>
      <c r="B3" t="s">
        <v>37</v>
      </c>
      <c r="C3" t="s">
        <v>38</v>
      </c>
      <c r="D3" s="2">
        <v>46090.875</v>
      </c>
      <c r="E3">
        <v>400</v>
      </c>
      <c r="F3">
        <v>22</v>
      </c>
      <c r="G3" t="s">
        <v>76</v>
      </c>
      <c r="H3" t="s">
        <v>77</v>
      </c>
    </row>
    <row r="4" spans="1:8" x14ac:dyDescent="0.25">
      <c r="A4" t="s">
        <v>53</v>
      </c>
      <c r="B4" t="s">
        <v>54</v>
      </c>
      <c r="C4" t="s">
        <v>26</v>
      </c>
      <c r="D4" s="2">
        <v>46092.791666666664</v>
      </c>
      <c r="E4">
        <v>150</v>
      </c>
      <c r="F4">
        <v>45</v>
      </c>
      <c r="G4" t="s">
        <v>78</v>
      </c>
      <c r="H4" t="s">
        <v>79</v>
      </c>
    </row>
    <row r="5" spans="1:8" x14ac:dyDescent="0.25">
      <c r="A5" t="s">
        <v>43</v>
      </c>
      <c r="B5" t="s">
        <v>44</v>
      </c>
      <c r="C5" t="s">
        <v>26</v>
      </c>
      <c r="D5" s="2">
        <v>46097.791666666664</v>
      </c>
      <c r="E5">
        <v>400</v>
      </c>
      <c r="F5">
        <v>18</v>
      </c>
      <c r="G5" t="s">
        <v>80</v>
      </c>
      <c r="H5" t="s">
        <v>81</v>
      </c>
    </row>
    <row r="6" spans="1:8" x14ac:dyDescent="0.25">
      <c r="A6" t="s">
        <v>39</v>
      </c>
      <c r="B6" t="s">
        <v>40</v>
      </c>
      <c r="C6" t="s">
        <v>17</v>
      </c>
      <c r="D6" s="2">
        <v>46097.833333333336</v>
      </c>
      <c r="E6">
        <v>400</v>
      </c>
      <c r="F6">
        <v>18</v>
      </c>
      <c r="G6" t="s">
        <v>74</v>
      </c>
      <c r="H6" t="s">
        <v>82</v>
      </c>
    </row>
    <row r="7" spans="1:8" x14ac:dyDescent="0.25">
      <c r="A7" t="s">
        <v>34</v>
      </c>
      <c r="B7" t="s">
        <v>35</v>
      </c>
      <c r="C7" t="s">
        <v>17</v>
      </c>
      <c r="D7" s="2">
        <v>46100.833333333336</v>
      </c>
      <c r="E7">
        <v>250</v>
      </c>
      <c r="F7">
        <v>15</v>
      </c>
      <c r="G7" t="s">
        <v>80</v>
      </c>
      <c r="H7" t="s">
        <v>82</v>
      </c>
    </row>
    <row r="8" spans="1:8" x14ac:dyDescent="0.25">
      <c r="A8" t="s">
        <v>69</v>
      </c>
      <c r="B8" t="s">
        <v>70</v>
      </c>
      <c r="C8" t="s">
        <v>57</v>
      </c>
      <c r="D8" s="2">
        <v>46111.791666666664</v>
      </c>
      <c r="E8">
        <v>400</v>
      </c>
      <c r="F8">
        <v>22</v>
      </c>
      <c r="G8" t="s">
        <v>76</v>
      </c>
      <c r="H8" t="s">
        <v>83</v>
      </c>
    </row>
    <row r="9" spans="1:8" x14ac:dyDescent="0.25">
      <c r="A9" t="s">
        <v>29</v>
      </c>
      <c r="B9" t="s">
        <v>30</v>
      </c>
      <c r="C9" t="s">
        <v>31</v>
      </c>
      <c r="D9" s="2">
        <v>46113.875</v>
      </c>
      <c r="E9">
        <v>150</v>
      </c>
      <c r="F9">
        <v>45</v>
      </c>
      <c r="G9" t="s">
        <v>84</v>
      </c>
      <c r="H9" t="s">
        <v>85</v>
      </c>
    </row>
    <row r="10" spans="1:8" x14ac:dyDescent="0.25">
      <c r="A10" t="s">
        <v>41</v>
      </c>
      <c r="B10" t="s">
        <v>42</v>
      </c>
      <c r="C10" t="s">
        <v>38</v>
      </c>
      <c r="D10" s="2">
        <v>46119.75</v>
      </c>
      <c r="E10">
        <v>700</v>
      </c>
      <c r="F10">
        <v>15</v>
      </c>
      <c r="G10" t="s">
        <v>76</v>
      </c>
      <c r="H10" t="s">
        <v>86</v>
      </c>
    </row>
    <row r="11" spans="1:8" x14ac:dyDescent="0.25">
      <c r="A11" t="s">
        <v>32</v>
      </c>
      <c r="B11" t="s">
        <v>33</v>
      </c>
      <c r="C11" t="s">
        <v>31</v>
      </c>
      <c r="D11" s="2">
        <v>46123.833333333336</v>
      </c>
      <c r="E11">
        <v>1200</v>
      </c>
      <c r="F11">
        <v>15</v>
      </c>
      <c r="G11" t="s">
        <v>78</v>
      </c>
      <c r="H11" t="s">
        <v>87</v>
      </c>
    </row>
    <row r="12" spans="1:8" x14ac:dyDescent="0.25">
      <c r="A12" t="s">
        <v>15</v>
      </c>
      <c r="B12" t="s">
        <v>16</v>
      </c>
      <c r="C12" t="s">
        <v>17</v>
      </c>
      <c r="D12" s="2">
        <v>46135.791666666664</v>
      </c>
      <c r="E12">
        <v>400</v>
      </c>
      <c r="F12">
        <v>45</v>
      </c>
      <c r="G12" t="s">
        <v>88</v>
      </c>
      <c r="H12" t="s">
        <v>85</v>
      </c>
    </row>
    <row r="13" spans="1:8" x14ac:dyDescent="0.25">
      <c r="A13" t="s">
        <v>45</v>
      </c>
      <c r="B13" t="s">
        <v>46</v>
      </c>
      <c r="C13" t="s">
        <v>17</v>
      </c>
      <c r="D13" s="2">
        <v>46135.875</v>
      </c>
      <c r="E13">
        <v>400</v>
      </c>
      <c r="F13">
        <v>28</v>
      </c>
      <c r="G13" t="s">
        <v>76</v>
      </c>
      <c r="H13" t="s">
        <v>82</v>
      </c>
    </row>
    <row r="14" spans="1:8" x14ac:dyDescent="0.25">
      <c r="A14" t="s">
        <v>58</v>
      </c>
      <c r="B14" t="s">
        <v>59</v>
      </c>
      <c r="C14" t="s">
        <v>26</v>
      </c>
      <c r="D14" s="2">
        <v>46143.791666666664</v>
      </c>
      <c r="E14">
        <v>400</v>
      </c>
      <c r="F14">
        <v>12</v>
      </c>
      <c r="G14" t="s">
        <v>80</v>
      </c>
      <c r="H14" t="s">
        <v>86</v>
      </c>
    </row>
    <row r="15" spans="1:8" x14ac:dyDescent="0.25">
      <c r="A15" t="s">
        <v>47</v>
      </c>
      <c r="B15" t="s">
        <v>48</v>
      </c>
      <c r="C15" t="s">
        <v>38</v>
      </c>
      <c r="D15" s="2">
        <v>46153.833333333336</v>
      </c>
      <c r="E15">
        <v>250</v>
      </c>
      <c r="F15">
        <v>22</v>
      </c>
      <c r="G15" t="s">
        <v>88</v>
      </c>
      <c r="H15" t="s">
        <v>89</v>
      </c>
    </row>
    <row r="16" spans="1:8" x14ac:dyDescent="0.25">
      <c r="A16" t="s">
        <v>55</v>
      </c>
      <c r="B16" t="s">
        <v>56</v>
      </c>
      <c r="C16" t="s">
        <v>57</v>
      </c>
      <c r="D16" s="2">
        <v>46159.833333333336</v>
      </c>
      <c r="E16">
        <v>2000</v>
      </c>
      <c r="F16">
        <v>28</v>
      </c>
      <c r="G16" t="s">
        <v>76</v>
      </c>
      <c r="H16" t="s">
        <v>79</v>
      </c>
    </row>
    <row r="17" spans="1:8" x14ac:dyDescent="0.25">
      <c r="A17" t="s">
        <v>65</v>
      </c>
      <c r="B17" t="s">
        <v>66</v>
      </c>
      <c r="C17" t="s">
        <v>23</v>
      </c>
      <c r="D17" s="2">
        <v>46159.833333333336</v>
      </c>
      <c r="E17">
        <v>150</v>
      </c>
      <c r="F17">
        <v>35</v>
      </c>
      <c r="G17" t="s">
        <v>88</v>
      </c>
      <c r="H17" t="s">
        <v>86</v>
      </c>
    </row>
    <row r="18" spans="1:8" x14ac:dyDescent="0.25">
      <c r="A18" t="s">
        <v>27</v>
      </c>
      <c r="B18" t="s">
        <v>28</v>
      </c>
      <c r="C18" t="s">
        <v>26</v>
      </c>
      <c r="D18" s="2">
        <v>46163.791666666664</v>
      </c>
      <c r="E18">
        <v>700</v>
      </c>
      <c r="F18">
        <v>28</v>
      </c>
      <c r="G18" t="s">
        <v>74</v>
      </c>
      <c r="H18" t="s">
        <v>90</v>
      </c>
    </row>
    <row r="19" spans="1:8" x14ac:dyDescent="0.25">
      <c r="A19" t="s">
        <v>60</v>
      </c>
      <c r="B19" t="s">
        <v>61</v>
      </c>
      <c r="C19" t="s">
        <v>62</v>
      </c>
      <c r="D19" s="2">
        <v>46171.791666666664</v>
      </c>
      <c r="E19">
        <v>700</v>
      </c>
      <c r="F19">
        <v>18</v>
      </c>
      <c r="G19" t="s">
        <v>88</v>
      </c>
      <c r="H19" t="s">
        <v>82</v>
      </c>
    </row>
    <row r="20" spans="1:8" x14ac:dyDescent="0.25">
      <c r="A20" t="s">
        <v>51</v>
      </c>
      <c r="B20" t="s">
        <v>52</v>
      </c>
      <c r="C20" t="s">
        <v>26</v>
      </c>
      <c r="D20" s="2">
        <v>46171.875</v>
      </c>
      <c r="E20">
        <v>700</v>
      </c>
      <c r="F20">
        <v>15</v>
      </c>
      <c r="G20" t="s">
        <v>74</v>
      </c>
      <c r="H20" t="s">
        <v>89</v>
      </c>
    </row>
    <row r="21" spans="1:8" x14ac:dyDescent="0.25">
      <c r="A21" t="s">
        <v>67</v>
      </c>
      <c r="B21" t="s">
        <v>68</v>
      </c>
      <c r="C21" t="s">
        <v>20</v>
      </c>
      <c r="D21" s="2">
        <v>46177.75</v>
      </c>
      <c r="E21">
        <v>250</v>
      </c>
      <c r="F21">
        <v>22</v>
      </c>
      <c r="G21" t="s">
        <v>91</v>
      </c>
      <c r="H21" t="s">
        <v>92</v>
      </c>
    </row>
    <row r="22" spans="1:8" x14ac:dyDescent="0.25">
      <c r="A22" t="s">
        <v>18</v>
      </c>
      <c r="B22" t="s">
        <v>19</v>
      </c>
      <c r="C22" t="s">
        <v>20</v>
      </c>
      <c r="D22" s="2">
        <v>46187.75</v>
      </c>
      <c r="E22">
        <v>1200</v>
      </c>
      <c r="F22">
        <v>22</v>
      </c>
      <c r="G22" t="s">
        <v>91</v>
      </c>
      <c r="H22" t="s">
        <v>83</v>
      </c>
    </row>
    <row r="23" spans="1:8" x14ac:dyDescent="0.25">
      <c r="A23" t="s">
        <v>63</v>
      </c>
      <c r="B23" t="s">
        <v>64</v>
      </c>
      <c r="C23" t="s">
        <v>20</v>
      </c>
      <c r="D23" s="2">
        <v>46191.833333333336</v>
      </c>
      <c r="E23">
        <v>250</v>
      </c>
      <c r="F23">
        <v>22</v>
      </c>
      <c r="G23" t="s">
        <v>78</v>
      </c>
      <c r="H23" t="s">
        <v>93</v>
      </c>
    </row>
    <row r="24" spans="1:8" x14ac:dyDescent="0.25">
      <c r="A24" t="s">
        <v>24</v>
      </c>
      <c r="B24" t="s">
        <v>25</v>
      </c>
      <c r="C24" t="s">
        <v>26</v>
      </c>
      <c r="D24" s="2">
        <v>46198.75</v>
      </c>
      <c r="E24">
        <v>150</v>
      </c>
      <c r="F24">
        <v>35</v>
      </c>
      <c r="G24" t="s">
        <v>91</v>
      </c>
      <c r="H24" t="s">
        <v>92</v>
      </c>
    </row>
    <row r="25" spans="1:8" x14ac:dyDescent="0.25">
      <c r="A25" t="s">
        <v>49</v>
      </c>
      <c r="B25" t="s">
        <v>50</v>
      </c>
      <c r="C25" t="s">
        <v>31</v>
      </c>
      <c r="D25" s="2">
        <v>46200.791666666664</v>
      </c>
      <c r="E25">
        <v>700</v>
      </c>
      <c r="F25">
        <v>12</v>
      </c>
      <c r="G25" t="s">
        <v>91</v>
      </c>
      <c r="H25" t="s">
        <v>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0C60-4042-408A-BDFC-49BBFFE1B4A4}">
  <dimension ref="A1:C25"/>
  <sheetViews>
    <sheetView workbookViewId="0">
      <selection activeCell="C11" sqref="C11"/>
    </sheetView>
  </sheetViews>
  <sheetFormatPr baseColWidth="10" defaultRowHeight="15" x14ac:dyDescent="0.25"/>
  <cols>
    <col min="2" max="2" width="15.5703125" customWidth="1"/>
    <col min="3" max="3" width="11.85546875" bestFit="1" customWidth="1"/>
  </cols>
  <sheetData>
    <row r="1" spans="1:3" x14ac:dyDescent="0.25">
      <c r="A1" s="24" t="s">
        <v>6</v>
      </c>
      <c r="B1" s="24" t="s">
        <v>73</v>
      </c>
      <c r="C1" s="24" t="s">
        <v>2</v>
      </c>
    </row>
    <row r="2" spans="1:3" x14ac:dyDescent="0.25">
      <c r="A2" s="61" t="s">
        <v>21</v>
      </c>
      <c r="B2" s="61" t="s">
        <v>75</v>
      </c>
      <c r="C2" s="70">
        <f>IFERROR(INDEX(DATA_kpi_event[revenue],MATCH(A2,DATA_kpi_event[event_id],0)),"")</f>
        <v>4533.5200000000004</v>
      </c>
    </row>
    <row r="3" spans="1:3" x14ac:dyDescent="0.25">
      <c r="A3" s="62" t="s">
        <v>36</v>
      </c>
      <c r="B3" s="62" t="s">
        <v>77</v>
      </c>
      <c r="C3" s="71">
        <f>IFERROR(INDEX(DATA_kpi_event[revenue],MATCH(A3,DATA_kpi_event[event_id],0)),"")</f>
        <v>8741.7000000000007</v>
      </c>
    </row>
    <row r="4" spans="1:3" x14ac:dyDescent="0.25">
      <c r="A4" s="61" t="s">
        <v>53</v>
      </c>
      <c r="B4" s="61" t="s">
        <v>79</v>
      </c>
      <c r="C4" s="72">
        <f>IFERROR(INDEX(DATA_kpi_event[revenue],MATCH(A4,DATA_kpi_event[event_id],0)),"")</f>
        <v>8910.31</v>
      </c>
    </row>
    <row r="5" spans="1:3" x14ac:dyDescent="0.25">
      <c r="A5" s="62" t="s">
        <v>43</v>
      </c>
      <c r="B5" s="62" t="s">
        <v>81</v>
      </c>
      <c r="C5" s="71">
        <f>IFERROR(INDEX(DATA_kpi_event[revenue],MATCH(A5,DATA_kpi_event[event_id],0)),"")</f>
        <v>8378.89</v>
      </c>
    </row>
    <row r="6" spans="1:3" x14ac:dyDescent="0.25">
      <c r="A6" s="61" t="s">
        <v>39</v>
      </c>
      <c r="B6" s="61" t="s">
        <v>82</v>
      </c>
      <c r="C6" s="72">
        <f>IFERROR(INDEX(DATA_kpi_event[revenue],MATCH(A6,DATA_kpi_event[event_id],0)),"")</f>
        <v>7366.46</v>
      </c>
    </row>
    <row r="7" spans="1:3" x14ac:dyDescent="0.25">
      <c r="A7" s="62" t="s">
        <v>34</v>
      </c>
      <c r="B7" s="62" t="s">
        <v>82</v>
      </c>
      <c r="C7" s="71">
        <f>IFERROR(INDEX(DATA_kpi_event[revenue],MATCH(A7,DATA_kpi_event[event_id],0)),"")</f>
        <v>4194.96</v>
      </c>
    </row>
    <row r="8" spans="1:3" x14ac:dyDescent="0.25">
      <c r="A8" s="61" t="s">
        <v>69</v>
      </c>
      <c r="B8" s="61" t="s">
        <v>83</v>
      </c>
      <c r="C8" s="72">
        <f>IFERROR(INDEX(DATA_kpi_event[revenue],MATCH(A8,DATA_kpi_event[event_id],0)),"")</f>
        <v>10016.74</v>
      </c>
    </row>
    <row r="9" spans="1:3" x14ac:dyDescent="0.25">
      <c r="A9" s="62" t="s">
        <v>29</v>
      </c>
      <c r="B9" s="62" t="s">
        <v>85</v>
      </c>
      <c r="C9" s="71">
        <f>IFERROR(INDEX(DATA_kpi_event[revenue],MATCH(A9,DATA_kpi_event[event_id],0)),"")</f>
        <v>5787.47</v>
      </c>
    </row>
    <row r="10" spans="1:3" x14ac:dyDescent="0.25">
      <c r="A10" s="61" t="s">
        <v>41</v>
      </c>
      <c r="B10" s="61" t="s">
        <v>86</v>
      </c>
      <c r="C10" s="72">
        <f>IFERROR(INDEX(DATA_kpi_event[revenue],MATCH(A10,DATA_kpi_event[event_id],0)),"")</f>
        <v>10505.24</v>
      </c>
    </row>
    <row r="11" spans="1:3" x14ac:dyDescent="0.25">
      <c r="A11" s="62" t="s">
        <v>32</v>
      </c>
      <c r="B11" s="62" t="s">
        <v>87</v>
      </c>
      <c r="C11" s="71">
        <f>IFERROR(INDEX(DATA_kpi_event[revenue],MATCH(A11,DATA_kpi_event[event_id],0)),"")</f>
        <v>18073.07</v>
      </c>
    </row>
    <row r="12" spans="1:3" x14ac:dyDescent="0.25">
      <c r="A12" s="61" t="s">
        <v>15</v>
      </c>
      <c r="B12" s="61" t="s">
        <v>85</v>
      </c>
      <c r="C12" s="72">
        <f>IFERROR(INDEX(DATA_kpi_event[revenue],MATCH(A12,DATA_kpi_event[event_id],0)),"")</f>
        <v>21645.67</v>
      </c>
    </row>
    <row r="13" spans="1:3" x14ac:dyDescent="0.25">
      <c r="A13" s="62" t="s">
        <v>45</v>
      </c>
      <c r="B13" s="62" t="s">
        <v>82</v>
      </c>
      <c r="C13" s="71">
        <f>IFERROR(INDEX(DATA_kpi_event[revenue],MATCH(A13,DATA_kpi_event[event_id],0)),"")</f>
        <v>13238.34</v>
      </c>
    </row>
    <row r="14" spans="1:3" x14ac:dyDescent="0.25">
      <c r="A14" s="61" t="s">
        <v>58</v>
      </c>
      <c r="B14" s="61" t="s">
        <v>86</v>
      </c>
      <c r="C14" s="72">
        <f>IFERROR(INDEX(DATA_kpi_event[revenue],MATCH(A14,DATA_kpi_event[event_id],0)),"")</f>
        <v>4781.08</v>
      </c>
    </row>
    <row r="15" spans="1:3" x14ac:dyDescent="0.25">
      <c r="A15" s="62" t="s">
        <v>47</v>
      </c>
      <c r="B15" s="62" t="s">
        <v>89</v>
      </c>
      <c r="C15" s="71">
        <f>IFERROR(INDEX(DATA_kpi_event[revenue],MATCH(A15,DATA_kpi_event[event_id],0)),"")</f>
        <v>5828.59</v>
      </c>
    </row>
    <row r="16" spans="1:3" x14ac:dyDescent="0.25">
      <c r="A16" s="61" t="s">
        <v>55</v>
      </c>
      <c r="B16" s="61" t="s">
        <v>79</v>
      </c>
      <c r="C16" s="72">
        <f>IFERROR(INDEX(DATA_kpi_event[revenue],MATCH(A16,DATA_kpi_event[event_id],0)),"")</f>
        <v>60938.65</v>
      </c>
    </row>
    <row r="17" spans="1:3" x14ac:dyDescent="0.25">
      <c r="A17" s="62" t="s">
        <v>65</v>
      </c>
      <c r="B17" s="62" t="s">
        <v>86</v>
      </c>
      <c r="C17" s="71">
        <f>IFERROR(INDEX(DATA_kpi_event[revenue],MATCH(A17,DATA_kpi_event[event_id],0)),"")</f>
        <v>6045.81</v>
      </c>
    </row>
    <row r="18" spans="1:3" x14ac:dyDescent="0.25">
      <c r="A18" s="61" t="s">
        <v>27</v>
      </c>
      <c r="B18" s="61" t="s">
        <v>90</v>
      </c>
      <c r="C18" s="72">
        <f>IFERROR(INDEX(DATA_kpi_event[revenue],MATCH(A18,DATA_kpi_event[event_id],0)),"")</f>
        <v>23478.3</v>
      </c>
    </row>
    <row r="19" spans="1:3" x14ac:dyDescent="0.25">
      <c r="A19" s="62" t="s">
        <v>60</v>
      </c>
      <c r="B19" s="62" t="s">
        <v>82</v>
      </c>
      <c r="C19" s="71">
        <f>IFERROR(INDEX(DATA_kpi_event[revenue],MATCH(A19,DATA_kpi_event[event_id],0)),"")</f>
        <v>14553.74</v>
      </c>
    </row>
    <row r="20" spans="1:3" x14ac:dyDescent="0.25">
      <c r="A20" s="61" t="s">
        <v>51</v>
      </c>
      <c r="B20" s="61" t="s">
        <v>89</v>
      </c>
      <c r="C20" s="72">
        <f>IFERROR(INDEX(DATA_kpi_event[revenue],MATCH(A20,DATA_kpi_event[event_id],0)),"")</f>
        <v>8999.5</v>
      </c>
    </row>
    <row r="21" spans="1:3" x14ac:dyDescent="0.25">
      <c r="A21" s="62" t="s">
        <v>67</v>
      </c>
      <c r="B21" s="62" t="s">
        <v>92</v>
      </c>
      <c r="C21" s="71">
        <f>IFERROR(INDEX(DATA_kpi_event[revenue],MATCH(A21,DATA_kpi_event[event_id],0)),"")</f>
        <v>5138.1099999999997</v>
      </c>
    </row>
    <row r="22" spans="1:3" x14ac:dyDescent="0.25">
      <c r="A22" s="61" t="s">
        <v>18</v>
      </c>
      <c r="B22" s="61" t="s">
        <v>83</v>
      </c>
      <c r="C22" s="72">
        <f>IFERROR(INDEX(DATA_kpi_event[revenue],MATCH(A22,DATA_kpi_event[event_id],0)),"")</f>
        <v>27654.45</v>
      </c>
    </row>
    <row r="23" spans="1:3" x14ac:dyDescent="0.25">
      <c r="A23" s="62" t="s">
        <v>63</v>
      </c>
      <c r="B23" s="62" t="s">
        <v>93</v>
      </c>
      <c r="C23" s="71">
        <f>IFERROR(INDEX(DATA_kpi_event[revenue],MATCH(A23,DATA_kpi_event[event_id],0)),"")</f>
        <v>6075.22</v>
      </c>
    </row>
    <row r="24" spans="1:3" x14ac:dyDescent="0.25">
      <c r="A24" s="61" t="s">
        <v>24</v>
      </c>
      <c r="B24" s="61" t="s">
        <v>92</v>
      </c>
      <c r="C24" s="72">
        <f>IFERROR(INDEX(DATA_kpi_event[revenue],MATCH(A24,DATA_kpi_event[event_id],0)),"")</f>
        <v>5596.17</v>
      </c>
    </row>
    <row r="25" spans="1:3" x14ac:dyDescent="0.25">
      <c r="A25" s="69" t="s">
        <v>49</v>
      </c>
      <c r="B25" s="69" t="s">
        <v>94</v>
      </c>
      <c r="C25" s="73">
        <f>IFERROR(INDEX(DATA_kpi_event[revenue],MATCH(A25,DATA_kpi_event[event_id],0)),"")</f>
        <v>8429.15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5A7A-76B0-4A0F-8F86-62CA04BC4846}">
  <dimension ref="A1:L55"/>
  <sheetViews>
    <sheetView showGridLines="0" zoomScale="96" zoomScaleNormal="96" workbookViewId="0">
      <selection activeCell="B5" sqref="A1:B5"/>
    </sheetView>
  </sheetViews>
  <sheetFormatPr baseColWidth="10" defaultRowHeight="15" x14ac:dyDescent="0.25"/>
  <cols>
    <col min="1" max="1" width="25.85546875" bestFit="1" customWidth="1"/>
    <col min="2" max="2" width="18.42578125" bestFit="1" customWidth="1"/>
    <col min="5" max="5" width="17.85546875" customWidth="1"/>
    <col min="6" max="7" width="18.42578125" bestFit="1" customWidth="1"/>
    <col min="10" max="10" width="18.42578125" bestFit="1" customWidth="1"/>
    <col min="11" max="11" width="21" bestFit="1" customWidth="1"/>
    <col min="12" max="12" width="18.42578125" bestFit="1" customWidth="1"/>
  </cols>
  <sheetData>
    <row r="1" spans="1:12" x14ac:dyDescent="0.25">
      <c r="A1" t="s">
        <v>95</v>
      </c>
      <c r="B1" t="s">
        <v>100</v>
      </c>
    </row>
    <row r="2" spans="1:12" x14ac:dyDescent="0.25">
      <c r="A2" t="s">
        <v>99</v>
      </c>
      <c r="B2" s="65">
        <f>SUM(DATA_kpi_daily[revenue])</f>
        <v>298911.14000000007</v>
      </c>
    </row>
    <row r="3" spans="1:12" x14ac:dyDescent="0.25">
      <c r="A3" t="s">
        <v>96</v>
      </c>
      <c r="B3" s="5">
        <f>SUM(DATA_kpi_daily[tickets_sold])</f>
        <v>15496</v>
      </c>
    </row>
    <row r="4" spans="1:12" x14ac:dyDescent="0.25">
      <c r="A4" t="s">
        <v>97</v>
      </c>
      <c r="B4" s="64">
        <f>SUM(DATA_kpi_daily[revenue]) / SUM(DATA_kpi_daily[tx_count])</f>
        <v>33.32342697881829</v>
      </c>
    </row>
    <row r="5" spans="1:12" x14ac:dyDescent="0.25">
      <c r="A5" t="s">
        <v>98</v>
      </c>
      <c r="B5" s="4">
        <f>SUMPRODUCT(DATA_kpi_event[fill_rate],DATA_kpi_event[capacity]) / SUM(DATA_kpi_event[capacity])</f>
        <v>0.68509960159362526</v>
      </c>
    </row>
    <row r="6" spans="1:12" ht="45" x14ac:dyDescent="0.25">
      <c r="A6" s="80"/>
      <c r="B6" s="76"/>
      <c r="C6" s="75"/>
      <c r="D6" s="75"/>
      <c r="E6" s="67" t="s">
        <v>164</v>
      </c>
      <c r="F6" s="66"/>
      <c r="G6" s="66"/>
      <c r="H6" s="75"/>
      <c r="I6" s="75"/>
      <c r="J6" s="75"/>
      <c r="K6" s="80"/>
      <c r="L6" s="80"/>
    </row>
    <row r="7" spans="1:12" x14ac:dyDescent="0.25">
      <c r="A7" s="80"/>
      <c r="B7" s="75"/>
      <c r="C7" s="75"/>
      <c r="D7" s="75"/>
      <c r="E7" s="75"/>
      <c r="F7" s="75"/>
      <c r="G7" s="75"/>
      <c r="H7" s="75"/>
      <c r="I7" s="75"/>
      <c r="J7" s="75"/>
      <c r="K7" s="80"/>
      <c r="L7" s="80"/>
    </row>
    <row r="8" spans="1:12" x14ac:dyDescent="0.25">
      <c r="A8" s="80"/>
      <c r="B8" s="75"/>
      <c r="C8" s="75"/>
      <c r="D8" s="75"/>
      <c r="E8" s="75"/>
      <c r="F8" s="75"/>
      <c r="G8" s="75"/>
      <c r="H8" s="75"/>
      <c r="I8" s="75"/>
      <c r="J8" s="75"/>
      <c r="K8" s="80"/>
      <c r="L8" s="80"/>
    </row>
    <row r="9" spans="1:12" x14ac:dyDescent="0.25">
      <c r="A9" s="80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</row>
    <row r="10" spans="1:12" x14ac:dyDescent="0.25">
      <c r="A10" s="80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x14ac:dyDescent="0.25">
      <c r="A11" s="80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  <row r="12" spans="1:12" x14ac:dyDescent="0.25">
      <c r="A12" s="80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</row>
    <row r="13" spans="1:12" x14ac:dyDescent="0.25">
      <c r="A13" s="80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</row>
    <row r="14" spans="1:12" x14ac:dyDescent="0.25">
      <c r="A14" s="80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</row>
    <row r="15" spans="1:12" x14ac:dyDescent="0.25">
      <c r="A15" s="80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</row>
    <row r="16" spans="1:12" x14ac:dyDescent="0.25">
      <c r="A16" s="80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</row>
    <row r="17" spans="1:12" x14ac:dyDescent="0.25">
      <c r="A17" s="80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</row>
    <row r="18" spans="1:12" x14ac:dyDescent="0.25">
      <c r="A18" s="80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</row>
    <row r="19" spans="1:12" x14ac:dyDescent="0.25">
      <c r="A19" s="80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x14ac:dyDescent="0.25">
      <c r="A20" s="80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spans="1:12" x14ac:dyDescent="0.25">
      <c r="A21" s="80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</row>
    <row r="22" spans="1:12" x14ac:dyDescent="0.25">
      <c r="A22" s="80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</row>
    <row r="23" spans="1:12" x14ac:dyDescent="0.25">
      <c r="A23" s="75"/>
      <c r="B23" s="75"/>
      <c r="C23" s="75"/>
      <c r="D23" s="75"/>
      <c r="E23" s="77" t="s">
        <v>102</v>
      </c>
      <c r="F23" s="77" t="s">
        <v>104</v>
      </c>
      <c r="G23" s="77"/>
      <c r="H23" s="75"/>
      <c r="I23" s="75"/>
      <c r="J23" s="75"/>
      <c r="K23" s="75"/>
      <c r="L23" s="75"/>
    </row>
    <row r="24" spans="1:12" x14ac:dyDescent="0.25">
      <c r="A24" s="77" t="s">
        <v>102</v>
      </c>
      <c r="B24" s="77" t="s">
        <v>104</v>
      </c>
      <c r="C24" s="77"/>
      <c r="D24" s="77"/>
      <c r="E24" s="78" t="s">
        <v>56</v>
      </c>
      <c r="F24" s="79">
        <v>60938.65</v>
      </c>
      <c r="G24" s="77"/>
      <c r="H24" s="77"/>
      <c r="I24" s="77" t="s">
        <v>102</v>
      </c>
      <c r="J24" s="77" t="s">
        <v>104</v>
      </c>
      <c r="K24" s="77"/>
      <c r="L24" s="75"/>
    </row>
    <row r="25" spans="1:12" x14ac:dyDescent="0.25">
      <c r="A25" s="78" t="s">
        <v>108</v>
      </c>
      <c r="B25" s="79">
        <v>1613.79</v>
      </c>
      <c r="C25" s="77"/>
      <c r="D25" s="77"/>
      <c r="E25" s="78" t="s">
        <v>19</v>
      </c>
      <c r="F25" s="79">
        <v>27654.45</v>
      </c>
      <c r="G25" s="77"/>
      <c r="H25" s="77"/>
      <c r="I25" s="78" t="s">
        <v>76</v>
      </c>
      <c r="J25" s="79">
        <v>103440.67000000001</v>
      </c>
      <c r="K25" s="77"/>
      <c r="L25" s="77"/>
    </row>
    <row r="26" spans="1:12" x14ac:dyDescent="0.25">
      <c r="A26" s="78" t="s">
        <v>109</v>
      </c>
      <c r="B26" s="79">
        <v>22662.149999999998</v>
      </c>
      <c r="C26" s="77"/>
      <c r="D26" s="77"/>
      <c r="E26" s="78" t="s">
        <v>28</v>
      </c>
      <c r="F26" s="79">
        <v>23478.3</v>
      </c>
      <c r="G26" s="77"/>
      <c r="H26" s="77"/>
      <c r="I26" s="78" t="s">
        <v>88</v>
      </c>
      <c r="J26" s="79">
        <v>48073.81</v>
      </c>
      <c r="K26" s="77"/>
      <c r="L26" s="77"/>
    </row>
    <row r="27" spans="1:12" x14ac:dyDescent="0.25">
      <c r="A27" s="78" t="s">
        <v>110</v>
      </c>
      <c r="B27" s="79">
        <v>59919.909999999996</v>
      </c>
      <c r="C27" s="77"/>
      <c r="D27" s="77"/>
      <c r="E27" s="78" t="s">
        <v>16</v>
      </c>
      <c r="F27" s="79">
        <v>21645.67</v>
      </c>
      <c r="G27" s="77"/>
      <c r="H27" s="77"/>
      <c r="I27" s="78" t="s">
        <v>91</v>
      </c>
      <c r="J27" s="79">
        <v>46817.880000000005</v>
      </c>
      <c r="K27" s="77"/>
      <c r="L27" s="77"/>
    </row>
    <row r="28" spans="1:12" x14ac:dyDescent="0.25">
      <c r="A28" s="78" t="s">
        <v>111</v>
      </c>
      <c r="B28" s="79">
        <v>81789.39999999998</v>
      </c>
      <c r="C28" s="77"/>
      <c r="D28" s="77"/>
      <c r="E28" s="78" t="s">
        <v>33</v>
      </c>
      <c r="F28" s="79">
        <v>18073.07</v>
      </c>
      <c r="G28" s="77"/>
      <c r="H28" s="77"/>
      <c r="I28" s="78" t="s">
        <v>74</v>
      </c>
      <c r="J28" s="79">
        <v>44377.78</v>
      </c>
      <c r="K28" s="77"/>
      <c r="L28" s="77"/>
    </row>
    <row r="29" spans="1:12" x14ac:dyDescent="0.25">
      <c r="A29" s="78" t="s">
        <v>112</v>
      </c>
      <c r="B29" s="79">
        <v>100749.20000000003</v>
      </c>
      <c r="C29" s="77"/>
      <c r="D29" s="77"/>
      <c r="E29" s="78" t="s">
        <v>61</v>
      </c>
      <c r="F29" s="79">
        <v>14553.74</v>
      </c>
      <c r="G29" s="77"/>
      <c r="H29" s="77"/>
      <c r="I29" s="78" t="s">
        <v>78</v>
      </c>
      <c r="J29" s="79">
        <v>33058.6</v>
      </c>
      <c r="K29" s="77"/>
      <c r="L29" s="77"/>
    </row>
    <row r="30" spans="1:12" x14ac:dyDescent="0.25">
      <c r="A30" s="78" t="s">
        <v>113</v>
      </c>
      <c r="B30" s="79">
        <v>32176.69</v>
      </c>
      <c r="C30" s="77"/>
      <c r="D30" s="77"/>
      <c r="E30" s="78" t="s">
        <v>46</v>
      </c>
      <c r="F30" s="79">
        <v>13238.34</v>
      </c>
      <c r="G30" s="77"/>
      <c r="H30" s="77"/>
      <c r="I30" s="78" t="s">
        <v>80</v>
      </c>
      <c r="J30" s="79">
        <v>17354.93</v>
      </c>
      <c r="K30" s="77"/>
      <c r="L30" s="77"/>
    </row>
    <row r="31" spans="1:12" x14ac:dyDescent="0.25">
      <c r="A31" s="78" t="s">
        <v>103</v>
      </c>
      <c r="B31" s="79">
        <v>298911.14</v>
      </c>
      <c r="C31" s="77"/>
      <c r="D31" s="77"/>
      <c r="E31" s="78" t="s">
        <v>42</v>
      </c>
      <c r="F31" s="79">
        <v>10505.24</v>
      </c>
      <c r="G31" s="77"/>
      <c r="H31" s="77"/>
      <c r="I31" s="78" t="s">
        <v>84</v>
      </c>
      <c r="J31" s="79">
        <v>5787.47</v>
      </c>
      <c r="K31" s="77"/>
      <c r="L31" s="75"/>
    </row>
    <row r="32" spans="1:12" x14ac:dyDescent="0.25">
      <c r="A32" s="75"/>
      <c r="B32" s="75"/>
      <c r="C32" s="75"/>
      <c r="D32" s="75"/>
      <c r="E32" s="78" t="s">
        <v>70</v>
      </c>
      <c r="F32" s="79">
        <v>10016.74</v>
      </c>
      <c r="G32" s="77"/>
      <c r="H32" s="77"/>
      <c r="I32" s="78" t="s">
        <v>103</v>
      </c>
      <c r="J32" s="79">
        <v>298911.14</v>
      </c>
      <c r="K32" s="77"/>
      <c r="L32" s="75"/>
    </row>
    <row r="33" spans="1:12" x14ac:dyDescent="0.25">
      <c r="A33" s="75"/>
      <c r="B33" s="75"/>
      <c r="C33" s="75"/>
      <c r="D33" s="75"/>
      <c r="E33" s="78" t="s">
        <v>52</v>
      </c>
      <c r="F33" s="79">
        <v>8999.5</v>
      </c>
      <c r="G33" s="77"/>
      <c r="H33" s="75"/>
      <c r="I33" s="75"/>
      <c r="J33" s="75"/>
      <c r="K33" s="75"/>
      <c r="L33" s="75"/>
    </row>
    <row r="34" spans="1:12" x14ac:dyDescent="0.25">
      <c r="A34" s="75"/>
      <c r="B34" s="75"/>
      <c r="C34" s="75"/>
      <c r="D34" s="75"/>
      <c r="E34" s="78" t="s">
        <v>103</v>
      </c>
      <c r="F34" s="79">
        <v>209103.7</v>
      </c>
      <c r="G34" s="77"/>
      <c r="H34" s="75"/>
      <c r="I34" s="75"/>
      <c r="J34" s="75"/>
      <c r="K34" s="75"/>
      <c r="L34" s="75"/>
    </row>
    <row r="35" spans="1:12" x14ac:dyDescent="0.25">
      <c r="A35" s="80"/>
      <c r="B35" s="80"/>
      <c r="C35" s="75"/>
      <c r="D35" s="75"/>
      <c r="E35" s="75"/>
      <c r="F35" s="75"/>
      <c r="G35" s="75"/>
      <c r="H35" s="75"/>
      <c r="I35" s="75"/>
      <c r="J35" s="75"/>
      <c r="K35" s="75"/>
      <c r="L35" s="75"/>
    </row>
    <row r="36" spans="1:12" ht="18.75" x14ac:dyDescent="0.3">
      <c r="A36" s="81" t="s">
        <v>165</v>
      </c>
      <c r="B36" s="80"/>
      <c r="C36" s="75"/>
      <c r="D36" s="75"/>
      <c r="E36" s="75"/>
      <c r="F36" s="75"/>
      <c r="G36" s="75"/>
      <c r="H36" s="75"/>
      <c r="I36" s="75"/>
      <c r="J36" s="75"/>
      <c r="K36" s="75"/>
      <c r="L36" s="75"/>
    </row>
    <row r="37" spans="1:12" x14ac:dyDescent="0.25">
      <c r="I37" s="75"/>
      <c r="J37" s="75"/>
      <c r="K37" s="75"/>
      <c r="L37" s="75"/>
    </row>
    <row r="38" spans="1:12" x14ac:dyDescent="0.25">
      <c r="A38" s="6" t="s">
        <v>102</v>
      </c>
      <c r="B38" t="s">
        <v>104</v>
      </c>
      <c r="I38" s="75"/>
      <c r="J38" s="75"/>
      <c r="K38" s="75"/>
      <c r="L38" s="75"/>
    </row>
    <row r="39" spans="1:12" x14ac:dyDescent="0.25">
      <c r="A39" s="7" t="s">
        <v>79</v>
      </c>
      <c r="B39" s="74">
        <v>69848.960000000006</v>
      </c>
      <c r="I39" s="75"/>
      <c r="J39" s="75"/>
      <c r="K39" s="75"/>
      <c r="L39" s="75"/>
    </row>
    <row r="40" spans="1:12" x14ac:dyDescent="0.25">
      <c r="A40" s="7" t="s">
        <v>82</v>
      </c>
      <c r="B40" s="74">
        <v>39353.5</v>
      </c>
      <c r="I40" s="75"/>
      <c r="J40" s="75"/>
      <c r="K40" s="75"/>
      <c r="L40" s="75"/>
    </row>
    <row r="41" spans="1:12" x14ac:dyDescent="0.25">
      <c r="A41" s="7" t="s">
        <v>83</v>
      </c>
      <c r="B41" s="74">
        <v>37671.19</v>
      </c>
      <c r="I41" s="75"/>
      <c r="J41" s="75"/>
      <c r="K41" s="75"/>
      <c r="L41" s="75"/>
    </row>
    <row r="42" spans="1:12" x14ac:dyDescent="0.25">
      <c r="A42" s="7" t="s">
        <v>85</v>
      </c>
      <c r="B42" s="74">
        <v>27433.14</v>
      </c>
      <c r="I42" s="75"/>
      <c r="J42" s="75"/>
      <c r="K42" s="75"/>
      <c r="L42" s="75"/>
    </row>
    <row r="43" spans="1:12" x14ac:dyDescent="0.25">
      <c r="A43" s="7" t="s">
        <v>90</v>
      </c>
      <c r="B43" s="74">
        <v>23478.3</v>
      </c>
      <c r="I43" s="75"/>
      <c r="J43" s="75"/>
      <c r="K43" s="75"/>
      <c r="L43" s="75"/>
    </row>
    <row r="44" spans="1:12" x14ac:dyDescent="0.25">
      <c r="A44" s="7" t="s">
        <v>86</v>
      </c>
      <c r="B44" s="74">
        <v>21332.13</v>
      </c>
      <c r="I44" s="75"/>
      <c r="J44" s="75"/>
      <c r="K44" s="75"/>
      <c r="L44" s="75"/>
    </row>
    <row r="45" spans="1:12" x14ac:dyDescent="0.25">
      <c r="A45" s="7" t="s">
        <v>87</v>
      </c>
      <c r="B45" s="74">
        <v>18073.07</v>
      </c>
      <c r="I45" s="75"/>
      <c r="J45" s="75"/>
      <c r="K45" s="75"/>
      <c r="L45" s="75"/>
    </row>
    <row r="46" spans="1:12" x14ac:dyDescent="0.25">
      <c r="A46" s="7" t="s">
        <v>89</v>
      </c>
      <c r="B46" s="74">
        <v>14828.09</v>
      </c>
      <c r="I46" s="75"/>
      <c r="J46" s="75"/>
      <c r="K46" s="75"/>
      <c r="L46" s="75"/>
    </row>
    <row r="47" spans="1:12" x14ac:dyDescent="0.25">
      <c r="A47" s="7" t="s">
        <v>92</v>
      </c>
      <c r="B47" s="74">
        <v>10734.279999999999</v>
      </c>
      <c r="I47" s="75"/>
      <c r="J47" s="75"/>
      <c r="K47" s="75"/>
      <c r="L47" s="75"/>
    </row>
    <row r="48" spans="1:12" x14ac:dyDescent="0.25">
      <c r="A48" s="7" t="s">
        <v>77</v>
      </c>
      <c r="B48" s="74">
        <v>8741.7000000000007</v>
      </c>
      <c r="I48" s="75"/>
      <c r="J48" s="75"/>
      <c r="K48" s="75"/>
      <c r="L48" s="75"/>
    </row>
    <row r="49" spans="1:12" x14ac:dyDescent="0.25">
      <c r="A49" s="7" t="s">
        <v>94</v>
      </c>
      <c r="B49" s="74">
        <v>8429.15</v>
      </c>
      <c r="I49" s="75"/>
      <c r="J49" s="75"/>
      <c r="K49" s="75"/>
      <c r="L49" s="75"/>
    </row>
    <row r="50" spans="1:12" x14ac:dyDescent="0.25">
      <c r="A50" s="7" t="s">
        <v>81</v>
      </c>
      <c r="B50" s="74">
        <v>8378.89</v>
      </c>
      <c r="I50" s="75"/>
      <c r="J50" s="75"/>
      <c r="K50" s="75"/>
      <c r="L50" s="75"/>
    </row>
    <row r="51" spans="1:12" x14ac:dyDescent="0.25">
      <c r="A51" s="7" t="s">
        <v>93</v>
      </c>
      <c r="B51" s="74">
        <v>6075.22</v>
      </c>
      <c r="I51" s="75"/>
      <c r="J51" s="75"/>
      <c r="K51" s="75"/>
      <c r="L51" s="75"/>
    </row>
    <row r="52" spans="1:12" x14ac:dyDescent="0.25">
      <c r="A52" s="78" t="s">
        <v>75</v>
      </c>
      <c r="B52" s="82">
        <v>4533.5200000000004</v>
      </c>
      <c r="C52" s="75"/>
      <c r="D52" s="75"/>
      <c r="E52" s="75"/>
      <c r="F52" s="75"/>
      <c r="G52" s="75"/>
      <c r="H52" s="75"/>
      <c r="I52" s="75"/>
      <c r="J52" s="75"/>
      <c r="K52" s="75"/>
      <c r="L52" s="75"/>
    </row>
    <row r="53" spans="1:12" x14ac:dyDescent="0.25">
      <c r="A53" s="78" t="s">
        <v>103</v>
      </c>
      <c r="B53" s="82">
        <v>298911.14</v>
      </c>
      <c r="C53" s="75"/>
      <c r="D53" s="75"/>
      <c r="E53" s="75"/>
      <c r="F53" s="75"/>
      <c r="G53" s="75"/>
      <c r="H53" s="75"/>
      <c r="I53" s="75"/>
      <c r="J53" s="75"/>
      <c r="K53" s="75"/>
      <c r="L53" s="75"/>
    </row>
    <row r="54" spans="1:12" x14ac:dyDescent="0.2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</row>
    <row r="55" spans="1:12" x14ac:dyDescent="0.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</row>
  </sheetData>
  <pageMargins left="0.7" right="0.7" top="0.75" bottom="0.75" header="0.3" footer="0.3"/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272E-D1BB-489B-A73A-3BB06212A6A3}">
  <dimension ref="A2:M36"/>
  <sheetViews>
    <sheetView showGridLines="0" showRowColHeaders="0" tabSelected="1" workbookViewId="0">
      <selection activeCell="I45" sqref="I45"/>
    </sheetView>
  </sheetViews>
  <sheetFormatPr baseColWidth="10" defaultRowHeight="15" x14ac:dyDescent="0.25"/>
  <cols>
    <col min="2" max="2" width="12.85546875" bestFit="1" customWidth="1"/>
    <col min="3" max="3" width="14" bestFit="1" customWidth="1"/>
    <col min="4" max="4" width="13.28515625" bestFit="1" customWidth="1"/>
    <col min="5" max="5" width="25.85546875" bestFit="1" customWidth="1"/>
    <col min="7" max="7" width="12.85546875" bestFit="1" customWidth="1"/>
    <col min="13" max="13" width="15" customWidth="1"/>
  </cols>
  <sheetData>
    <row r="2" spans="1:13" x14ac:dyDescent="0.25">
      <c r="A2" s="95" t="s">
        <v>95</v>
      </c>
      <c r="B2" s="89" t="s">
        <v>99</v>
      </c>
      <c r="C2" s="90" t="s">
        <v>96</v>
      </c>
      <c r="D2" s="91" t="s">
        <v>97</v>
      </c>
      <c r="E2" s="92" t="s">
        <v>98</v>
      </c>
      <c r="F2" s="75"/>
    </row>
    <row r="3" spans="1:13" ht="30" x14ac:dyDescent="0.25">
      <c r="A3" s="96" t="s">
        <v>166</v>
      </c>
      <c r="B3" s="98">
        <f>SUM(DATA_kpi_daily[revenue])</f>
        <v>298911.14000000007</v>
      </c>
      <c r="C3" s="93">
        <f>SUM(DATA_kpi_daily[tickets_sold])</f>
        <v>15496</v>
      </c>
      <c r="D3" s="97">
        <f>SUM(DATA_kpi_daily[revenue]) / SUM(DATA_kpi_daily[tx_count])</f>
        <v>33.32342697881829</v>
      </c>
      <c r="E3" s="94">
        <f>SUMPRODUCT(DATA_kpi_event[fill_rate],DATA_kpi_event[capacity]) / SUM(DATA_kpi_event[capacity])</f>
        <v>0.68509960159362526</v>
      </c>
      <c r="F3" s="75"/>
      <c r="G3" s="67" t="s">
        <v>167</v>
      </c>
      <c r="H3" s="67"/>
      <c r="I3" s="67"/>
      <c r="J3" s="67"/>
      <c r="K3" s="67"/>
      <c r="L3" s="67"/>
      <c r="M3" s="67"/>
    </row>
    <row r="4" spans="1:13" x14ac:dyDescent="0.25">
      <c r="A4" s="86"/>
      <c r="B4" s="84"/>
      <c r="C4" s="87"/>
      <c r="D4" s="85"/>
      <c r="E4" s="88"/>
      <c r="F4" s="75"/>
    </row>
    <row r="5" spans="1:13" x14ac:dyDescent="0.25">
      <c r="A5" s="75"/>
      <c r="B5" s="75"/>
      <c r="C5" s="75"/>
      <c r="D5" s="75"/>
      <c r="E5" s="75"/>
      <c r="F5" s="75"/>
      <c r="G5" s="83"/>
      <c r="H5" s="83"/>
      <c r="I5" s="83"/>
      <c r="J5" s="83"/>
      <c r="K5" s="83"/>
      <c r="L5" s="83"/>
      <c r="M5" s="83"/>
    </row>
    <row r="6" spans="1:13" x14ac:dyDescent="0.25">
      <c r="A6" s="75"/>
      <c r="B6" s="75"/>
      <c r="C6" s="75"/>
      <c r="D6" s="75"/>
      <c r="E6" s="75"/>
      <c r="F6" s="75"/>
      <c r="G6" s="83"/>
      <c r="H6" s="83"/>
      <c r="I6" s="83"/>
      <c r="J6" s="83"/>
      <c r="K6" s="83"/>
      <c r="L6" s="83"/>
      <c r="M6" s="83"/>
    </row>
    <row r="7" spans="1:13" x14ac:dyDescent="0.25">
      <c r="A7" s="75"/>
      <c r="B7" s="75"/>
      <c r="C7" s="75"/>
      <c r="D7" s="75"/>
      <c r="E7" s="75"/>
      <c r="F7" s="75"/>
      <c r="G7" s="83"/>
      <c r="H7" s="83"/>
      <c r="I7" s="83"/>
      <c r="J7" s="83"/>
      <c r="K7" s="83"/>
      <c r="L7" s="83"/>
      <c r="M7" s="83"/>
    </row>
    <row r="8" spans="1:13" x14ac:dyDescent="0.25">
      <c r="A8" s="75"/>
      <c r="B8" s="75"/>
      <c r="C8" s="75"/>
      <c r="D8" s="75"/>
      <c r="E8" s="75"/>
      <c r="F8" s="75"/>
      <c r="G8" s="83"/>
      <c r="H8" s="83"/>
      <c r="I8" s="83"/>
      <c r="J8" s="83"/>
      <c r="K8" s="83"/>
      <c r="L8" s="83"/>
      <c r="M8" s="83"/>
    </row>
    <row r="9" spans="1:13" x14ac:dyDescent="0.25">
      <c r="A9" s="75"/>
      <c r="B9" s="75"/>
      <c r="C9" s="75"/>
      <c r="D9" s="75"/>
      <c r="E9" s="75"/>
      <c r="F9" s="75"/>
      <c r="G9" s="83"/>
      <c r="H9" s="83"/>
      <c r="I9" s="83"/>
      <c r="J9" s="83"/>
      <c r="K9" s="83"/>
      <c r="L9" s="83"/>
      <c r="M9" s="83"/>
    </row>
    <row r="10" spans="1:13" x14ac:dyDescent="0.25">
      <c r="A10" s="75"/>
      <c r="B10" s="75"/>
      <c r="C10" s="75"/>
      <c r="D10" s="75"/>
      <c r="E10" s="75"/>
      <c r="F10" s="75"/>
      <c r="G10" s="83"/>
      <c r="H10" s="83"/>
      <c r="I10" s="83"/>
      <c r="J10" s="83"/>
      <c r="K10" s="83"/>
      <c r="L10" s="83"/>
      <c r="M10" s="83"/>
    </row>
    <row r="11" spans="1:13" x14ac:dyDescent="0.25">
      <c r="A11" s="75"/>
      <c r="B11" s="75"/>
      <c r="C11" s="75"/>
      <c r="D11" s="75"/>
      <c r="E11" s="75"/>
      <c r="F11" s="75"/>
      <c r="G11" s="83"/>
      <c r="H11" s="83"/>
      <c r="I11" s="83"/>
      <c r="J11" s="83"/>
      <c r="K11" s="83"/>
      <c r="L11" s="83"/>
      <c r="M11" s="83"/>
    </row>
    <row r="12" spans="1:13" x14ac:dyDescent="0.25">
      <c r="A12" s="75"/>
      <c r="B12" s="75"/>
      <c r="C12" s="75"/>
      <c r="D12" s="75"/>
      <c r="E12" s="75"/>
      <c r="F12" s="75"/>
      <c r="G12" s="83"/>
      <c r="H12" s="83"/>
      <c r="I12" s="83"/>
      <c r="J12" s="83"/>
      <c r="K12" s="83"/>
      <c r="L12" s="83"/>
      <c r="M12" s="83"/>
    </row>
    <row r="13" spans="1:13" x14ac:dyDescent="0.25">
      <c r="A13" s="75"/>
      <c r="B13" s="75"/>
      <c r="C13" s="75"/>
      <c r="D13" s="75"/>
      <c r="E13" s="75"/>
      <c r="F13" s="75"/>
      <c r="G13" s="83"/>
      <c r="H13" s="83"/>
      <c r="I13" s="83"/>
      <c r="J13" s="83"/>
      <c r="K13" s="83"/>
      <c r="L13" s="83"/>
      <c r="M13" s="83"/>
    </row>
    <row r="14" spans="1:13" x14ac:dyDescent="0.25">
      <c r="A14" s="75"/>
      <c r="B14" s="75"/>
      <c r="C14" s="75"/>
      <c r="D14" s="75"/>
      <c r="E14" s="75"/>
      <c r="F14" s="75"/>
      <c r="G14" s="83"/>
      <c r="H14" s="83"/>
      <c r="I14" s="83"/>
      <c r="J14" s="83"/>
      <c r="K14" s="83"/>
      <c r="L14" s="83"/>
      <c r="M14" s="83"/>
    </row>
    <row r="15" spans="1:13" x14ac:dyDescent="0.25">
      <c r="A15" s="75"/>
      <c r="B15" s="75"/>
      <c r="C15" s="75"/>
      <c r="D15" s="75"/>
      <c r="E15" s="75"/>
      <c r="F15" s="75"/>
      <c r="G15" s="83"/>
      <c r="H15" s="83"/>
      <c r="I15" s="83"/>
      <c r="J15" s="83"/>
      <c r="K15" s="83"/>
      <c r="L15" s="83"/>
      <c r="M15" s="83"/>
    </row>
    <row r="16" spans="1:13" x14ac:dyDescent="0.25">
      <c r="A16" s="75"/>
      <c r="B16" s="75"/>
      <c r="C16" s="75"/>
      <c r="D16" s="75"/>
      <c r="E16" s="75"/>
      <c r="F16" s="75"/>
      <c r="G16" s="83"/>
      <c r="H16" s="83"/>
      <c r="I16" s="83"/>
      <c r="J16" s="83"/>
      <c r="K16" s="83"/>
      <c r="L16" s="83"/>
      <c r="M16" s="83"/>
    </row>
    <row r="17" spans="1:13" x14ac:dyDescent="0.25">
      <c r="A17" s="75"/>
      <c r="B17" s="75"/>
      <c r="C17" s="75"/>
      <c r="D17" s="75"/>
      <c r="E17" s="75"/>
      <c r="F17" s="75"/>
      <c r="G17" s="83"/>
      <c r="H17" s="83"/>
      <c r="I17" s="83"/>
      <c r="J17" s="83"/>
      <c r="K17" s="83"/>
      <c r="L17" s="83"/>
      <c r="M17" s="83"/>
    </row>
    <row r="18" spans="1:13" x14ac:dyDescent="0.25">
      <c r="A18" s="75"/>
      <c r="B18" s="75"/>
      <c r="C18" s="75"/>
      <c r="D18" s="75"/>
      <c r="E18" s="75"/>
      <c r="F18" s="75"/>
      <c r="G18" s="83"/>
      <c r="H18" s="83"/>
      <c r="I18" s="83"/>
      <c r="J18" s="83"/>
      <c r="K18" s="83"/>
      <c r="L18" s="83"/>
      <c r="M18" s="83"/>
    </row>
    <row r="19" spans="1:13" x14ac:dyDescent="0.25">
      <c r="A19" s="75"/>
      <c r="B19" s="75"/>
      <c r="C19" s="75"/>
      <c r="D19" s="75"/>
      <c r="E19" s="75"/>
      <c r="F19" s="75"/>
      <c r="G19" s="83"/>
      <c r="H19" s="83"/>
      <c r="I19" s="83"/>
      <c r="J19" s="83"/>
      <c r="K19" s="83"/>
      <c r="L19" s="83"/>
      <c r="M19" s="83"/>
    </row>
    <row r="20" spans="1:13" x14ac:dyDescent="0.25">
      <c r="A20" s="75"/>
      <c r="B20" s="75"/>
      <c r="C20" s="75"/>
      <c r="D20" s="75"/>
      <c r="E20" s="75"/>
      <c r="F20" s="75"/>
      <c r="G20" s="83"/>
      <c r="H20" s="83"/>
      <c r="I20" s="83"/>
      <c r="J20" s="83"/>
      <c r="K20" s="83"/>
      <c r="L20" s="83"/>
      <c r="M20" s="83"/>
    </row>
    <row r="21" spans="1:13" x14ac:dyDescent="0.25">
      <c r="A21" s="83"/>
      <c r="B21" s="83"/>
      <c r="C21" s="83"/>
      <c r="D21" s="83"/>
      <c r="E21" s="83"/>
      <c r="F21" s="83"/>
      <c r="G21" s="75"/>
      <c r="H21" s="75"/>
      <c r="I21" s="75"/>
      <c r="J21" s="75"/>
      <c r="K21" s="75"/>
      <c r="L21" s="75"/>
      <c r="M21" s="75"/>
    </row>
    <row r="22" spans="1:13" x14ac:dyDescent="0.25">
      <c r="A22" s="83"/>
      <c r="B22" s="83"/>
      <c r="C22" s="83"/>
      <c r="D22" s="83"/>
      <c r="E22" s="83"/>
      <c r="F22" s="83"/>
      <c r="G22" s="75"/>
      <c r="H22" s="75"/>
      <c r="I22" s="75"/>
      <c r="J22" s="75"/>
      <c r="K22" s="75"/>
      <c r="L22" s="75"/>
      <c r="M22" s="75"/>
    </row>
    <row r="23" spans="1:13" x14ac:dyDescent="0.25">
      <c r="A23" s="83"/>
      <c r="B23" s="83"/>
      <c r="C23" s="83"/>
      <c r="D23" s="83"/>
      <c r="E23" s="83"/>
      <c r="F23" s="83"/>
      <c r="G23" s="75"/>
      <c r="H23" s="75"/>
      <c r="I23" s="75"/>
      <c r="J23" s="75"/>
      <c r="K23" s="75"/>
      <c r="L23" s="75"/>
      <c r="M23" s="75"/>
    </row>
    <row r="24" spans="1:13" x14ac:dyDescent="0.25">
      <c r="A24" s="83"/>
      <c r="B24" s="83"/>
      <c r="C24" s="83"/>
      <c r="D24" s="83"/>
      <c r="E24" s="83"/>
      <c r="F24" s="83"/>
      <c r="G24" s="75"/>
      <c r="H24" s="75"/>
      <c r="I24" s="75"/>
      <c r="J24" s="75"/>
      <c r="K24" s="75"/>
      <c r="L24" s="75"/>
      <c r="M24" s="75"/>
    </row>
    <row r="25" spans="1:13" x14ac:dyDescent="0.25">
      <c r="A25" s="83"/>
      <c r="B25" s="83"/>
      <c r="C25" s="83"/>
      <c r="D25" s="83"/>
      <c r="E25" s="83"/>
      <c r="F25" s="83"/>
      <c r="G25" s="75"/>
      <c r="H25" s="75"/>
      <c r="I25" s="75"/>
      <c r="J25" s="75"/>
      <c r="K25" s="75"/>
      <c r="L25" s="75"/>
      <c r="M25" s="75"/>
    </row>
    <row r="26" spans="1:13" x14ac:dyDescent="0.25">
      <c r="A26" s="83"/>
      <c r="B26" s="83"/>
      <c r="C26" s="83"/>
      <c r="D26" s="83"/>
      <c r="E26" s="83"/>
      <c r="F26" s="83"/>
      <c r="G26" s="75"/>
      <c r="H26" s="75"/>
      <c r="I26" s="75"/>
      <c r="J26" s="75"/>
      <c r="K26" s="75"/>
      <c r="L26" s="75"/>
      <c r="M26" s="75"/>
    </row>
    <row r="27" spans="1:13" x14ac:dyDescent="0.25">
      <c r="A27" s="83"/>
      <c r="B27" s="83"/>
      <c r="C27" s="83"/>
      <c r="D27" s="83"/>
      <c r="E27" s="83"/>
      <c r="F27" s="83"/>
      <c r="G27" s="75"/>
      <c r="H27" s="75"/>
      <c r="I27" s="75"/>
      <c r="J27" s="75"/>
      <c r="K27" s="75"/>
      <c r="L27" s="75"/>
      <c r="M27" s="75"/>
    </row>
    <row r="28" spans="1:13" x14ac:dyDescent="0.25">
      <c r="A28" s="83"/>
      <c r="B28" s="83"/>
      <c r="C28" s="83"/>
      <c r="D28" s="83"/>
      <c r="E28" s="83"/>
      <c r="F28" s="83"/>
      <c r="G28" s="75"/>
      <c r="H28" s="75"/>
      <c r="I28" s="75"/>
      <c r="J28" s="75"/>
      <c r="K28" s="75"/>
      <c r="L28" s="75"/>
      <c r="M28" s="75"/>
    </row>
    <row r="29" spans="1:13" x14ac:dyDescent="0.25">
      <c r="A29" s="83"/>
      <c r="B29" s="83"/>
      <c r="C29" s="83"/>
      <c r="D29" s="83"/>
      <c r="E29" s="83"/>
      <c r="F29" s="83"/>
      <c r="G29" s="75"/>
      <c r="H29" s="75"/>
      <c r="I29" s="75"/>
      <c r="J29" s="75"/>
      <c r="K29" s="75"/>
      <c r="L29" s="75"/>
      <c r="M29" s="75"/>
    </row>
    <row r="30" spans="1:13" x14ac:dyDescent="0.25">
      <c r="A30" s="83"/>
      <c r="B30" s="83"/>
      <c r="C30" s="83"/>
      <c r="D30" s="83"/>
      <c r="E30" s="83"/>
      <c r="F30" s="83"/>
      <c r="G30" s="75"/>
      <c r="H30" s="75"/>
      <c r="I30" s="75"/>
      <c r="J30" s="75"/>
      <c r="K30" s="75"/>
      <c r="L30" s="75"/>
      <c r="M30" s="75"/>
    </row>
    <row r="31" spans="1:13" x14ac:dyDescent="0.25">
      <c r="A31" s="83"/>
      <c r="B31" s="83"/>
      <c r="C31" s="83"/>
      <c r="D31" s="83"/>
      <c r="E31" s="83"/>
      <c r="F31" s="83"/>
      <c r="G31" s="75"/>
      <c r="H31" s="75"/>
      <c r="I31" s="75"/>
      <c r="J31" s="75"/>
      <c r="K31" s="75"/>
      <c r="L31" s="75"/>
      <c r="M31" s="75"/>
    </row>
    <row r="32" spans="1:13" x14ac:dyDescent="0.25">
      <c r="A32" s="83"/>
      <c r="B32" s="83"/>
      <c r="C32" s="83"/>
      <c r="D32" s="83"/>
      <c r="E32" s="83"/>
      <c r="F32" s="83"/>
      <c r="G32" s="75"/>
      <c r="H32" s="75"/>
      <c r="I32" s="75"/>
      <c r="J32" s="75"/>
      <c r="K32" s="75"/>
      <c r="L32" s="75"/>
      <c r="M32" s="75"/>
    </row>
    <row r="33" spans="1:13" x14ac:dyDescent="0.25">
      <c r="A33" s="83"/>
      <c r="B33" s="83"/>
      <c r="C33" s="83"/>
      <c r="D33" s="83"/>
      <c r="E33" s="83"/>
      <c r="F33" s="83"/>
      <c r="G33" s="75"/>
      <c r="H33" s="75"/>
      <c r="I33" s="75"/>
      <c r="J33" s="75"/>
      <c r="K33" s="75"/>
      <c r="L33" s="75"/>
      <c r="M33" s="75"/>
    </row>
    <row r="34" spans="1:13" x14ac:dyDescent="0.25">
      <c r="A34" s="83"/>
      <c r="B34" s="83"/>
      <c r="C34" s="83"/>
      <c r="D34" s="83"/>
      <c r="E34" s="83"/>
      <c r="F34" s="83"/>
      <c r="G34" s="75"/>
      <c r="H34" s="75"/>
      <c r="I34" s="75"/>
      <c r="J34" s="75"/>
      <c r="K34" s="75"/>
      <c r="L34" s="75"/>
      <c r="M34" s="75"/>
    </row>
    <row r="35" spans="1:13" x14ac:dyDescent="0.25">
      <c r="A35" s="83"/>
      <c r="B35" s="83"/>
      <c r="C35" s="83"/>
      <c r="D35" s="83"/>
      <c r="E35" s="83"/>
      <c r="F35" s="83"/>
      <c r="G35" s="75"/>
      <c r="H35" s="75"/>
      <c r="I35" s="75"/>
      <c r="J35" s="75"/>
      <c r="K35" s="75"/>
      <c r="L35" s="75"/>
      <c r="M35" s="75"/>
    </row>
    <row r="36" spans="1:13" x14ac:dyDescent="0.25">
      <c r="A36" s="83"/>
      <c r="B36" s="83"/>
      <c r="C36" s="83"/>
      <c r="D36" s="83"/>
      <c r="E36" s="83"/>
      <c r="F36" s="83"/>
      <c r="G36" s="75"/>
      <c r="H36" s="75"/>
      <c r="I36" s="75"/>
      <c r="J36" s="75"/>
      <c r="K36" s="75"/>
      <c r="L36" s="75"/>
      <c r="M36" s="7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21D2-D7FB-4572-9E7A-AC2DAB295A72}">
  <sheetPr>
    <pageSetUpPr autoPageBreaks="0"/>
  </sheetPr>
  <dimension ref="A1:R96"/>
  <sheetViews>
    <sheetView showGridLines="0" showWhiteSpace="0" zoomScale="70" zoomScaleNormal="70" zoomScalePageLayoutView="85" workbookViewId="0">
      <selection activeCell="B44" sqref="B44"/>
    </sheetView>
  </sheetViews>
  <sheetFormatPr baseColWidth="10" defaultColWidth="10.85546875" defaultRowHeight="15" x14ac:dyDescent="0.25"/>
  <cols>
    <col min="1" max="1" width="43.42578125" style="8" bestFit="1" customWidth="1"/>
    <col min="2" max="2" width="46.7109375" style="8" bestFit="1" customWidth="1"/>
    <col min="3" max="3" width="29.28515625" style="8" bestFit="1" customWidth="1"/>
    <col min="4" max="4" width="36.42578125" style="8" bestFit="1" customWidth="1"/>
    <col min="5" max="5" width="22.42578125" style="8" bestFit="1" customWidth="1"/>
    <col min="6" max="6" width="23.5703125" style="8" customWidth="1"/>
    <col min="7" max="7" width="24.5703125" style="8" bestFit="1" customWidth="1"/>
    <col min="8" max="8" width="32.85546875" style="8" bestFit="1" customWidth="1"/>
    <col min="9" max="9" width="25.7109375" style="8" customWidth="1"/>
    <col min="10" max="11" width="18.42578125" style="8" customWidth="1"/>
    <col min="12" max="13" width="20.28515625" style="8" customWidth="1"/>
    <col min="14" max="14" width="25.85546875" style="8" customWidth="1"/>
    <col min="15" max="15" width="29.42578125" style="8" customWidth="1"/>
    <col min="16" max="16" width="33.28515625" style="8" customWidth="1"/>
    <col min="17" max="17" width="21.140625" style="8" customWidth="1"/>
    <col min="18" max="16384" width="10.85546875" style="8"/>
  </cols>
  <sheetData>
    <row r="1" spans="1:18" ht="60" x14ac:dyDescent="0.4">
      <c r="A1" s="40" t="s">
        <v>161</v>
      </c>
      <c r="C1" s="60" t="s">
        <v>163</v>
      </c>
      <c r="D1" s="9" t="str">
        <f>"du "&amp;TEXT($B$4-6,"jj/mm/aaaa")&amp;" au "&amp;TEXT($B$4,"jj/mm/aaaa")</f>
        <v>du 21/06/2026 au 27/06/2026</v>
      </c>
      <c r="F1" s="60" t="s">
        <v>162</v>
      </c>
      <c r="G1" s="10">
        <v>-0.1</v>
      </c>
    </row>
    <row r="2" spans="1:18" ht="15.75" x14ac:dyDescent="0.25">
      <c r="C2" s="9"/>
    </row>
    <row r="3" spans="1:18" ht="20.25" x14ac:dyDescent="0.3">
      <c r="A3" s="68" t="s">
        <v>105</v>
      </c>
      <c r="B3" s="53"/>
      <c r="C3" s="53"/>
      <c r="D3" s="53"/>
      <c r="E3" s="53"/>
      <c r="F3" s="53"/>
      <c r="G3" s="53"/>
      <c r="H3" s="53"/>
    </row>
    <row r="4" spans="1:18" ht="15.75" x14ac:dyDescent="0.25">
      <c r="A4" s="9" t="s">
        <v>117</v>
      </c>
      <c r="B4" s="11">
        <f>MAX(DATA_kpi_daily[purchase_day])</f>
        <v>46200</v>
      </c>
    </row>
    <row r="5" spans="1:18" ht="15.75" x14ac:dyDescent="0.25">
      <c r="A5" s="9" t="s">
        <v>114</v>
      </c>
      <c r="B5" s="12">
        <f>SUMIFS(DATA_kpi_daily[revenue],DATA_kpi_daily[purchase_day],"&gt;="&amp;$B$4-6,DATA_kpi_daily[purchase_day],"&lt;="&amp;$B$4)</f>
        <v>4042.4599999999996</v>
      </c>
      <c r="D5" s="9" t="s">
        <v>121</v>
      </c>
      <c r="E5" s="12">
        <f>IFERROR(B5/B8,0)</f>
        <v>24.062261904761904</v>
      </c>
      <c r="F5" s="9"/>
    </row>
    <row r="6" spans="1:18" ht="15.75" x14ac:dyDescent="0.25">
      <c r="A6" s="9" t="s">
        <v>115</v>
      </c>
      <c r="B6" s="13">
        <f>SUMIFS(DATA_kpi_daily[revenue],DATA_kpi_daily[purchase_day],"&gt;="&amp;$B$4-13,DATA_kpi_daily[purchase_day],"&lt;="&amp;$B$4-7)</f>
        <v>8486.5999999999985</v>
      </c>
      <c r="D6" s="9" t="s">
        <v>122</v>
      </c>
      <c r="E6" s="12">
        <f>IFERROR(B6/B9,0)</f>
        <v>30.527338129496396</v>
      </c>
      <c r="F6" s="9"/>
    </row>
    <row r="7" spans="1:18" ht="15.75" x14ac:dyDescent="0.25">
      <c r="A7" s="9" t="s">
        <v>116</v>
      </c>
      <c r="B7" s="14">
        <f>IFERROR((B5-B6)/B6,0)</f>
        <v>-0.52366554332712745</v>
      </c>
      <c r="C7" s="41" t="str">
        <f>IF(B7&lt;=$G$1,"⚠️ baisse","OK")</f>
        <v>⚠️ baisse</v>
      </c>
      <c r="D7" s="9" t="s">
        <v>123</v>
      </c>
      <c r="E7" s="14">
        <f>IFERROR((E5-E6)/E6,0)</f>
        <v>-0.21177988717227031</v>
      </c>
      <c r="F7" s="41" t="str">
        <f>IF(E7&lt;=$G$1,"⚠️ baisse","OK")</f>
        <v>⚠️ baisse</v>
      </c>
    </row>
    <row r="8" spans="1:18" ht="30" x14ac:dyDescent="0.25">
      <c r="A8" s="9" t="s">
        <v>118</v>
      </c>
      <c r="B8" s="15">
        <f>SUMIFS(DATA_kpi_daily[tx_count],DATA_kpi_daily[purchase_day],"&gt;="&amp;$B$4-6,DATA_kpi_daily[purchase_day],"&lt;="&amp;$B$4)</f>
        <v>168</v>
      </c>
      <c r="C8" s="9"/>
      <c r="D8" s="9" t="s">
        <v>124</v>
      </c>
      <c r="E8" s="15">
        <f>SUMIFS(DATA_kpi_daily[tickets_sold],DATA_kpi_daily[purchase_day],"&gt;="&amp;$B$4-6,DATA_kpi_daily[purchase_day],"&lt;="&amp;$B$4)</f>
        <v>310</v>
      </c>
      <c r="F8" s="9"/>
      <c r="G8" s="16"/>
    </row>
    <row r="9" spans="1:18" ht="20.25" x14ac:dyDescent="0.3">
      <c r="A9" s="9" t="s">
        <v>119</v>
      </c>
      <c r="B9" s="15">
        <f>SUMIFS(DATA_kpi_daily[tx_count],DATA_kpi_daily[purchase_day],"&gt;="&amp;$B$4-13,DATA_kpi_daily[purchase_day],"&lt;="&amp;$B$4-7)</f>
        <v>278</v>
      </c>
      <c r="C9" s="9"/>
      <c r="D9" s="9" t="s">
        <v>125</v>
      </c>
      <c r="E9" s="15">
        <f>SUMIFS(DATA_kpi_daily[tickets_sold],DATA_kpi_daily[purchase_day],"&gt;="&amp;$B$4-13,DATA_kpi_daily[purchase_day],"&lt;="&amp;$B$4-7)</f>
        <v>502</v>
      </c>
      <c r="F9" s="9"/>
      <c r="K9" s="39" t="s">
        <v>154</v>
      </c>
    </row>
    <row r="10" spans="1:18" ht="15.75" x14ac:dyDescent="0.25">
      <c r="A10" s="9" t="s">
        <v>120</v>
      </c>
      <c r="B10" s="14">
        <f>IFERROR((B8-B9)/B9,0)</f>
        <v>-0.39568345323741005</v>
      </c>
      <c r="C10" s="41" t="str">
        <f>IF(B10&lt;=$G$1,"⚠️ baisse","OK")</f>
        <v>⚠️ baisse</v>
      </c>
      <c r="D10" s="9" t="s">
        <v>126</v>
      </c>
      <c r="E10" s="14">
        <f>IFERROR((E8-E9)/E9,0)</f>
        <v>-0.38247011952191234</v>
      </c>
      <c r="F10" s="41" t="str">
        <f>IF(E10&lt;=$G$1,"⚠️ baisse","OK")</f>
        <v>⚠️ baisse</v>
      </c>
    </row>
    <row r="11" spans="1:18" x14ac:dyDescent="0.25">
      <c r="A11" s="52"/>
      <c r="B11" s="52"/>
      <c r="C11" s="52"/>
      <c r="D11" s="52"/>
      <c r="E11" s="52"/>
      <c r="F11" s="52"/>
      <c r="G11" s="52"/>
      <c r="H11" s="52"/>
      <c r="I11" s="52"/>
    </row>
    <row r="12" spans="1:18" ht="22.5" x14ac:dyDescent="0.3">
      <c r="A12" s="68" t="s">
        <v>106</v>
      </c>
      <c r="B12" s="53"/>
      <c r="C12" s="53"/>
      <c r="D12" s="53"/>
      <c r="E12" s="53"/>
      <c r="F12" s="53"/>
      <c r="G12" s="54"/>
      <c r="H12" s="53"/>
    </row>
    <row r="13" spans="1:18" x14ac:dyDescent="0.25">
      <c r="K13" s="24" t="s">
        <v>1</v>
      </c>
      <c r="L13" s="24" t="s">
        <v>2</v>
      </c>
      <c r="M13" s="24" t="s">
        <v>9</v>
      </c>
      <c r="N13" s="24" t="s">
        <v>10</v>
      </c>
      <c r="O13" s="24" t="s">
        <v>14</v>
      </c>
      <c r="P13" s="24" t="s">
        <v>128</v>
      </c>
      <c r="Q13" s="24" t="s">
        <v>129</v>
      </c>
      <c r="R13" s="24" t="s">
        <v>156</v>
      </c>
    </row>
    <row r="14" spans="1:18" ht="20.25" x14ac:dyDescent="0.3">
      <c r="A14" s="38" t="s">
        <v>127</v>
      </c>
      <c r="F14" s="19"/>
      <c r="K14" s="23">
        <v>2509</v>
      </c>
      <c r="L14" s="23">
        <v>60938.65</v>
      </c>
      <c r="M14" s="23">
        <v>8.1435472739820505E-2</v>
      </c>
      <c r="N14" s="23" t="s">
        <v>56</v>
      </c>
      <c r="O14" s="23">
        <v>0.67949999999999999</v>
      </c>
      <c r="P14" s="26">
        <f t="shared" ref="P14:P38" si="0">IFERROR(ROUND(K14/O14,0),"")</f>
        <v>3692</v>
      </c>
      <c r="Q14">
        <f t="shared" ref="Q14:Q38" si="1">IFERROR(ROUND((1-O14)*L14/O14,0),"")</f>
        <v>28743</v>
      </c>
      <c r="R14" s="26">
        <f t="shared" ref="R14:R38" si="2">ROUND(L14*M14,0)</f>
        <v>4963</v>
      </c>
    </row>
    <row r="15" spans="1:18" x14ac:dyDescent="0.25">
      <c r="A15" s="37"/>
      <c r="B15" s="8" t="s">
        <v>10</v>
      </c>
      <c r="C15" s="8" t="s">
        <v>1</v>
      </c>
      <c r="D15" s="8" t="s">
        <v>2</v>
      </c>
      <c r="E15" s="8" t="s">
        <v>9</v>
      </c>
      <c r="F15" s="21" t="s">
        <v>14</v>
      </c>
      <c r="G15" s="8" t="s">
        <v>128</v>
      </c>
      <c r="H15" s="8" t="s">
        <v>129</v>
      </c>
      <c r="K15" s="23">
        <v>1459</v>
      </c>
      <c r="L15" s="23">
        <v>27654.45</v>
      </c>
      <c r="M15" s="23">
        <v>8.8377723970944302E-2</v>
      </c>
      <c r="N15" s="23" t="s">
        <v>19</v>
      </c>
      <c r="O15" s="23">
        <v>0.69833333333333303</v>
      </c>
      <c r="P15" s="23">
        <f t="shared" si="0"/>
        <v>2089</v>
      </c>
      <c r="Q15" s="23">
        <f t="shared" si="1"/>
        <v>11946</v>
      </c>
      <c r="R15" s="23">
        <f t="shared" si="2"/>
        <v>2444</v>
      </c>
    </row>
    <row r="16" spans="1:18" x14ac:dyDescent="0.25">
      <c r="B16" s="8" t="s">
        <v>52</v>
      </c>
      <c r="C16" s="8">
        <v>703</v>
      </c>
      <c r="D16" s="20">
        <v>8999.5</v>
      </c>
      <c r="E16" s="21">
        <v>7.6190476190476197E-2</v>
      </c>
      <c r="F16" s="21">
        <v>0.42</v>
      </c>
      <c r="G16" s="8">
        <v>1674</v>
      </c>
      <c r="H16" s="20">
        <v>12428</v>
      </c>
      <c r="K16" s="22">
        <v>1396</v>
      </c>
      <c r="L16" s="22">
        <v>18073.07</v>
      </c>
      <c r="M16" s="22">
        <v>9.7135740971357395E-2</v>
      </c>
      <c r="N16" s="22" t="s">
        <v>33</v>
      </c>
      <c r="O16" s="22">
        <v>0.78249999999999997</v>
      </c>
      <c r="P16" s="22">
        <f t="shared" si="0"/>
        <v>1784</v>
      </c>
      <c r="Q16" s="22">
        <f t="shared" si="1"/>
        <v>5024</v>
      </c>
      <c r="R16" s="22">
        <f t="shared" si="2"/>
        <v>1756</v>
      </c>
    </row>
    <row r="17" spans="1:18" x14ac:dyDescent="0.25">
      <c r="B17" s="8" t="s">
        <v>61</v>
      </c>
      <c r="C17" s="8">
        <v>937</v>
      </c>
      <c r="D17" s="20">
        <v>14553.74</v>
      </c>
      <c r="E17" s="21">
        <v>8.9908256880733894E-2</v>
      </c>
      <c r="F17" s="21">
        <v>0.432857142857142</v>
      </c>
      <c r="G17" s="8">
        <v>2165</v>
      </c>
      <c r="H17" s="20">
        <v>19069</v>
      </c>
      <c r="I17" s="19"/>
      <c r="K17" s="22">
        <v>568</v>
      </c>
      <c r="L17" s="22">
        <v>21645.67</v>
      </c>
      <c r="M17" s="22">
        <v>7.6687116564417096E-2</v>
      </c>
      <c r="N17" s="22" t="s">
        <v>16</v>
      </c>
      <c r="O17" s="22">
        <v>0.78500000000000003</v>
      </c>
      <c r="P17" s="22">
        <f t="shared" si="0"/>
        <v>724</v>
      </c>
      <c r="Q17" s="23">
        <f t="shared" si="1"/>
        <v>5928</v>
      </c>
      <c r="R17" s="23">
        <f t="shared" si="2"/>
        <v>1660</v>
      </c>
    </row>
    <row r="18" spans="1:18" x14ac:dyDescent="0.25">
      <c r="B18" s="8" t="s">
        <v>22</v>
      </c>
      <c r="C18" s="8">
        <v>347</v>
      </c>
      <c r="D18" s="20">
        <v>4533.5200000000004</v>
      </c>
      <c r="E18" s="21">
        <v>9.4059405940594004E-2</v>
      </c>
      <c r="F18" s="21">
        <v>0.49199999999999999</v>
      </c>
      <c r="G18" s="8">
        <v>705</v>
      </c>
      <c r="H18" s="20">
        <v>4681</v>
      </c>
      <c r="K18" s="22">
        <v>994</v>
      </c>
      <c r="L18" s="22">
        <v>23478.3</v>
      </c>
      <c r="M18" s="22">
        <v>7.0175438596491196E-2</v>
      </c>
      <c r="N18" s="22" t="s">
        <v>28</v>
      </c>
      <c r="O18" s="22">
        <v>0.51142857142857101</v>
      </c>
      <c r="P18" s="22">
        <f t="shared" si="0"/>
        <v>1944</v>
      </c>
      <c r="Q18" s="22">
        <f t="shared" si="1"/>
        <v>22429</v>
      </c>
      <c r="R18" s="22">
        <f t="shared" si="2"/>
        <v>1648</v>
      </c>
    </row>
    <row r="19" spans="1:18" x14ac:dyDescent="0.25">
      <c r="B19" s="8" t="s">
        <v>28</v>
      </c>
      <c r="C19" s="8">
        <v>994</v>
      </c>
      <c r="D19" s="20">
        <v>23478.3</v>
      </c>
      <c r="E19" s="21">
        <v>7.0175438596491196E-2</v>
      </c>
      <c r="F19" s="21">
        <v>0.51142857142857101</v>
      </c>
      <c r="G19" s="8">
        <v>1944</v>
      </c>
      <c r="H19" s="20">
        <v>22429</v>
      </c>
      <c r="K19" s="23">
        <v>937</v>
      </c>
      <c r="L19" s="23">
        <v>14553.74</v>
      </c>
      <c r="M19" s="23">
        <v>8.9908256880733894E-2</v>
      </c>
      <c r="N19" s="23" t="s">
        <v>61</v>
      </c>
      <c r="O19" s="23">
        <v>0.432857142857142</v>
      </c>
      <c r="P19" s="23">
        <f t="shared" si="0"/>
        <v>2165</v>
      </c>
      <c r="Q19" s="23">
        <f t="shared" si="1"/>
        <v>19069</v>
      </c>
      <c r="R19" s="23">
        <f t="shared" si="2"/>
        <v>1309</v>
      </c>
    </row>
    <row r="20" spans="1:18" x14ac:dyDescent="0.25">
      <c r="B20" s="8" t="s">
        <v>25</v>
      </c>
      <c r="C20" s="8">
        <v>182</v>
      </c>
      <c r="D20" s="20">
        <v>5596.17</v>
      </c>
      <c r="E20" s="21">
        <v>6.4814814814814797E-2</v>
      </c>
      <c r="F20" s="21">
        <v>0.55333333333333301</v>
      </c>
      <c r="G20" s="8">
        <v>329</v>
      </c>
      <c r="H20" s="20">
        <v>4517</v>
      </c>
      <c r="K20" s="22">
        <v>535</v>
      </c>
      <c r="L20" s="22">
        <v>13238.34</v>
      </c>
      <c r="M20" s="22">
        <v>7.8947368421052599E-2</v>
      </c>
      <c r="N20" s="22" t="s">
        <v>46</v>
      </c>
      <c r="O20" s="22">
        <v>0.65</v>
      </c>
      <c r="P20" s="22">
        <f t="shared" si="0"/>
        <v>823</v>
      </c>
      <c r="Q20" s="22">
        <f t="shared" si="1"/>
        <v>7128</v>
      </c>
      <c r="R20" s="22">
        <f t="shared" si="2"/>
        <v>1045</v>
      </c>
    </row>
    <row r="21" spans="1:18" x14ac:dyDescent="0.25">
      <c r="B21" s="8" t="s">
        <v>70</v>
      </c>
      <c r="C21" s="8">
        <v>531</v>
      </c>
      <c r="D21" s="20">
        <v>10016.74</v>
      </c>
      <c r="E21" s="21">
        <v>0.101910828025477</v>
      </c>
      <c r="F21" s="21">
        <v>0.57999999999999996</v>
      </c>
      <c r="G21" s="8">
        <v>916</v>
      </c>
      <c r="H21" s="20">
        <v>7254</v>
      </c>
      <c r="K21" s="23">
        <v>531</v>
      </c>
      <c r="L21" s="23">
        <v>10016.74</v>
      </c>
      <c r="M21" s="23">
        <v>0.101910828025477</v>
      </c>
      <c r="N21" s="23" t="s">
        <v>70</v>
      </c>
      <c r="O21" s="23">
        <v>0.57999999999999996</v>
      </c>
      <c r="P21" s="23">
        <f t="shared" si="0"/>
        <v>916</v>
      </c>
      <c r="Q21" s="23">
        <f t="shared" si="1"/>
        <v>7254</v>
      </c>
      <c r="R21" s="23">
        <f t="shared" si="2"/>
        <v>1021</v>
      </c>
    </row>
    <row r="22" spans="1:18" x14ac:dyDescent="0.25">
      <c r="B22" s="8" t="s">
        <v>37</v>
      </c>
      <c r="C22" s="8">
        <v>450</v>
      </c>
      <c r="D22" s="20">
        <v>8741.7000000000007</v>
      </c>
      <c r="E22" s="21">
        <v>9.1269841269841195E-2</v>
      </c>
      <c r="F22" s="21">
        <v>0.58750000000000002</v>
      </c>
      <c r="G22" s="8">
        <v>766</v>
      </c>
      <c r="H22" s="20">
        <v>6138</v>
      </c>
      <c r="K22" s="22">
        <v>838</v>
      </c>
      <c r="L22" s="22">
        <v>8429.15</v>
      </c>
      <c r="M22" s="22">
        <v>9.8532494758909794E-2</v>
      </c>
      <c r="N22" s="22" t="s">
        <v>50</v>
      </c>
      <c r="O22" s="22">
        <v>0.875714285714285</v>
      </c>
      <c r="P22" s="22">
        <f t="shared" si="0"/>
        <v>957</v>
      </c>
      <c r="Q22" s="22">
        <f t="shared" si="1"/>
        <v>1196</v>
      </c>
      <c r="R22" s="22">
        <f t="shared" si="2"/>
        <v>831</v>
      </c>
    </row>
    <row r="23" spans="1:18" x14ac:dyDescent="0.25">
      <c r="B23" s="8" t="s">
        <v>66</v>
      </c>
      <c r="C23" s="8">
        <v>191</v>
      </c>
      <c r="D23" s="20">
        <v>6045.81</v>
      </c>
      <c r="E23" s="21">
        <v>0.125</v>
      </c>
      <c r="F23" s="21">
        <v>0.62666666666666604</v>
      </c>
      <c r="G23" s="8">
        <v>305</v>
      </c>
      <c r="H23" s="20">
        <v>3602</v>
      </c>
      <c r="K23" s="22">
        <v>229</v>
      </c>
      <c r="L23" s="22">
        <v>8910.31</v>
      </c>
      <c r="M23" s="22">
        <v>9.0277777777777707E-2</v>
      </c>
      <c r="N23" s="22" t="s">
        <v>54</v>
      </c>
      <c r="O23" s="22">
        <v>0.8</v>
      </c>
      <c r="P23" s="22">
        <f t="shared" si="0"/>
        <v>286</v>
      </c>
      <c r="Q23" s="22">
        <f t="shared" si="1"/>
        <v>2228</v>
      </c>
      <c r="R23" s="22">
        <f t="shared" si="2"/>
        <v>804</v>
      </c>
    </row>
    <row r="24" spans="1:18" x14ac:dyDescent="0.25">
      <c r="B24" s="8" t="s">
        <v>48</v>
      </c>
      <c r="C24" s="8">
        <v>294</v>
      </c>
      <c r="D24" s="20">
        <v>5828.59</v>
      </c>
      <c r="E24" s="21">
        <v>7.5581395348837205E-2</v>
      </c>
      <c r="F24" s="21">
        <v>0.628</v>
      </c>
      <c r="G24" s="8">
        <v>468</v>
      </c>
      <c r="H24" s="20">
        <v>3453</v>
      </c>
      <c r="K24" s="22">
        <v>450</v>
      </c>
      <c r="L24" s="22">
        <v>8741.7000000000007</v>
      </c>
      <c r="M24" s="22">
        <v>9.1269841269841195E-2</v>
      </c>
      <c r="N24" s="22" t="s">
        <v>37</v>
      </c>
      <c r="O24" s="22">
        <v>0.58750000000000002</v>
      </c>
      <c r="P24" s="22">
        <f t="shared" si="0"/>
        <v>766</v>
      </c>
      <c r="Q24" s="22">
        <f t="shared" si="1"/>
        <v>6138</v>
      </c>
      <c r="R24" s="22">
        <f t="shared" si="2"/>
        <v>798</v>
      </c>
    </row>
    <row r="25" spans="1:18" x14ac:dyDescent="0.25">
      <c r="B25" s="8" t="s">
        <v>46</v>
      </c>
      <c r="C25" s="8">
        <v>535</v>
      </c>
      <c r="D25" s="20">
        <v>13238.34</v>
      </c>
      <c r="E25" s="21">
        <v>7.8947368421052599E-2</v>
      </c>
      <c r="F25" s="21">
        <v>0.65</v>
      </c>
      <c r="G25" s="8">
        <v>823</v>
      </c>
      <c r="H25" s="20">
        <v>7128</v>
      </c>
      <c r="K25" s="23">
        <v>533</v>
      </c>
      <c r="L25" s="23">
        <v>8378.89</v>
      </c>
      <c r="M25" s="23">
        <v>9.2948717948717896E-2</v>
      </c>
      <c r="N25" s="23" t="s">
        <v>44</v>
      </c>
      <c r="O25" s="23">
        <v>0.9325</v>
      </c>
      <c r="P25" s="23">
        <f t="shared" si="0"/>
        <v>572</v>
      </c>
      <c r="Q25" s="23">
        <f t="shared" si="1"/>
        <v>607</v>
      </c>
      <c r="R25" s="23">
        <f t="shared" si="2"/>
        <v>779</v>
      </c>
    </row>
    <row r="26" spans="1:18" ht="37.5" x14ac:dyDescent="0.3">
      <c r="A26" s="55" t="s">
        <v>153</v>
      </c>
      <c r="B26" s="56"/>
      <c r="K26" s="23">
        <v>191</v>
      </c>
      <c r="L26" s="23">
        <v>6045.81</v>
      </c>
      <c r="M26" s="23">
        <v>0.125</v>
      </c>
      <c r="N26" s="23" t="s">
        <v>66</v>
      </c>
      <c r="O26" s="23">
        <v>0.62666666666666604</v>
      </c>
      <c r="P26" s="23">
        <f t="shared" si="0"/>
        <v>305</v>
      </c>
      <c r="Q26" s="23">
        <f t="shared" si="1"/>
        <v>3602</v>
      </c>
      <c r="R26" s="23">
        <f t="shared" si="2"/>
        <v>756</v>
      </c>
    </row>
    <row r="27" spans="1:18" x14ac:dyDescent="0.25">
      <c r="B27" s="56"/>
      <c r="K27" s="23"/>
      <c r="L27" s="23"/>
      <c r="M27" s="23"/>
      <c r="N27" s="23"/>
      <c r="O27" s="23"/>
      <c r="P27" s="23" t="str">
        <f t="shared" si="0"/>
        <v/>
      </c>
      <c r="Q27" s="23" t="str">
        <f t="shared" si="1"/>
        <v/>
      </c>
      <c r="R27" s="23">
        <f t="shared" si="2"/>
        <v>0</v>
      </c>
    </row>
    <row r="28" spans="1:18" ht="20.25" x14ac:dyDescent="0.3">
      <c r="A28" s="38" t="s">
        <v>130</v>
      </c>
      <c r="B28" s="30" t="s">
        <v>10</v>
      </c>
      <c r="C28" s="31" t="s">
        <v>1</v>
      </c>
      <c r="D28" s="32" t="s">
        <v>2</v>
      </c>
      <c r="E28" s="32" t="s">
        <v>9</v>
      </c>
      <c r="F28" s="32" t="s">
        <v>14</v>
      </c>
      <c r="G28" s="32" t="s">
        <v>128</v>
      </c>
      <c r="H28" s="32" t="s">
        <v>129</v>
      </c>
      <c r="K28" s="23">
        <v>146</v>
      </c>
      <c r="L28" s="23">
        <v>5787.47</v>
      </c>
      <c r="M28" s="23">
        <v>0.129411764705882</v>
      </c>
      <c r="N28" s="23" t="s">
        <v>30</v>
      </c>
      <c r="O28" s="23">
        <v>0.76666666666666605</v>
      </c>
      <c r="P28" s="23">
        <f t="shared" si="0"/>
        <v>190</v>
      </c>
      <c r="Q28" s="23">
        <f t="shared" si="1"/>
        <v>1761</v>
      </c>
      <c r="R28" s="23">
        <f t="shared" si="2"/>
        <v>749</v>
      </c>
    </row>
    <row r="29" spans="1:18" x14ac:dyDescent="0.25">
      <c r="A29" s="37"/>
      <c r="B29" s="27" t="s">
        <v>56</v>
      </c>
      <c r="C29" s="28">
        <v>2509</v>
      </c>
      <c r="D29" s="35">
        <v>60938.65</v>
      </c>
      <c r="E29" s="57">
        <v>8.1435472739820505E-2</v>
      </c>
      <c r="F29" s="57">
        <v>0.67949999999999999</v>
      </c>
      <c r="G29" s="29">
        <v>3692</v>
      </c>
      <c r="H29" s="35">
        <v>28743</v>
      </c>
      <c r="K29" s="22">
        <v>803</v>
      </c>
      <c r="L29" s="22">
        <v>10505.24</v>
      </c>
      <c r="M29" s="22">
        <v>6.9767441860465101E-2</v>
      </c>
      <c r="N29" s="22" t="s">
        <v>42</v>
      </c>
      <c r="O29" s="22">
        <v>0.82857142857142796</v>
      </c>
      <c r="P29" s="22">
        <f t="shared" si="0"/>
        <v>969</v>
      </c>
      <c r="Q29" s="22">
        <f t="shared" si="1"/>
        <v>2173</v>
      </c>
      <c r="R29" s="22">
        <f t="shared" si="2"/>
        <v>733</v>
      </c>
    </row>
    <row r="30" spans="1:18" x14ac:dyDescent="0.25">
      <c r="B30" s="27" t="s">
        <v>28</v>
      </c>
      <c r="C30" s="28">
        <v>994</v>
      </c>
      <c r="D30" s="35">
        <v>23478.3</v>
      </c>
      <c r="E30" s="57">
        <v>7.0175438596491196E-2</v>
      </c>
      <c r="F30" s="57">
        <v>0.51142857142857101</v>
      </c>
      <c r="G30" s="29">
        <v>1944</v>
      </c>
      <c r="H30" s="35">
        <v>22429</v>
      </c>
      <c r="K30" s="23">
        <v>703</v>
      </c>
      <c r="L30" s="23">
        <v>8999.5</v>
      </c>
      <c r="M30" s="23">
        <v>7.6190476190476197E-2</v>
      </c>
      <c r="N30" s="23" t="s">
        <v>52</v>
      </c>
      <c r="O30" s="23">
        <v>0.42</v>
      </c>
      <c r="P30" s="23">
        <f t="shared" si="0"/>
        <v>1674</v>
      </c>
      <c r="Q30" s="23">
        <f t="shared" si="1"/>
        <v>12428</v>
      </c>
      <c r="R30" s="23">
        <f t="shared" si="2"/>
        <v>686</v>
      </c>
    </row>
    <row r="31" spans="1:18" x14ac:dyDescent="0.25">
      <c r="B31" s="27" t="s">
        <v>61</v>
      </c>
      <c r="C31" s="28">
        <v>937</v>
      </c>
      <c r="D31" s="35">
        <v>14553.74</v>
      </c>
      <c r="E31" s="57">
        <v>8.9908256880733894E-2</v>
      </c>
      <c r="F31" s="57">
        <v>0.432857142857142</v>
      </c>
      <c r="G31" s="29">
        <v>2165</v>
      </c>
      <c r="H31" s="35">
        <v>19069</v>
      </c>
      <c r="K31" s="23">
        <v>469</v>
      </c>
      <c r="L31" s="23">
        <v>7366.46</v>
      </c>
      <c r="M31" s="23">
        <v>7.6086956521739094E-2</v>
      </c>
      <c r="N31" s="23" t="s">
        <v>40</v>
      </c>
      <c r="O31" s="23">
        <v>0.65249999999999997</v>
      </c>
      <c r="P31" s="23">
        <f t="shared" si="0"/>
        <v>719</v>
      </c>
      <c r="Q31" s="23">
        <f t="shared" si="1"/>
        <v>3923</v>
      </c>
      <c r="R31" s="23">
        <f t="shared" si="2"/>
        <v>560</v>
      </c>
    </row>
    <row r="32" spans="1:18" x14ac:dyDescent="0.25">
      <c r="B32" s="27" t="s">
        <v>52</v>
      </c>
      <c r="C32" s="28">
        <v>703</v>
      </c>
      <c r="D32" s="35">
        <v>8999.5</v>
      </c>
      <c r="E32" s="57">
        <v>7.6190476190476197E-2</v>
      </c>
      <c r="F32" s="57">
        <v>0.42</v>
      </c>
      <c r="G32" s="29">
        <v>1674</v>
      </c>
      <c r="H32" s="35">
        <v>12428</v>
      </c>
      <c r="K32" s="22">
        <v>327</v>
      </c>
      <c r="L32" s="22">
        <v>6075.22</v>
      </c>
      <c r="M32" s="22">
        <v>8.4656084656084596E-2</v>
      </c>
      <c r="N32" s="22" t="s">
        <v>64</v>
      </c>
      <c r="O32" s="22">
        <v>0.89600000000000002</v>
      </c>
      <c r="P32" s="22">
        <f t="shared" si="0"/>
        <v>365</v>
      </c>
      <c r="Q32" s="22">
        <f t="shared" si="1"/>
        <v>705</v>
      </c>
      <c r="R32" s="22">
        <f t="shared" si="2"/>
        <v>514</v>
      </c>
    </row>
    <row r="33" spans="1:18" x14ac:dyDescent="0.25">
      <c r="B33" s="27" t="s">
        <v>19</v>
      </c>
      <c r="C33" s="28">
        <v>1459</v>
      </c>
      <c r="D33" s="35">
        <v>27654.45</v>
      </c>
      <c r="E33" s="57">
        <v>8.8377723970944302E-2</v>
      </c>
      <c r="F33" s="57">
        <v>0.69833333333333303</v>
      </c>
      <c r="G33" s="29">
        <v>2089</v>
      </c>
      <c r="H33" s="35">
        <v>11946</v>
      </c>
      <c r="K33" s="23">
        <v>294</v>
      </c>
      <c r="L33" s="23">
        <v>5828.59</v>
      </c>
      <c r="M33" s="23">
        <v>7.5581395348837205E-2</v>
      </c>
      <c r="N33" s="23" t="s">
        <v>48</v>
      </c>
      <c r="O33" s="23">
        <v>0.628</v>
      </c>
      <c r="P33" s="23">
        <f t="shared" si="0"/>
        <v>468</v>
      </c>
      <c r="Q33" s="23">
        <f t="shared" si="1"/>
        <v>3453</v>
      </c>
      <c r="R33" s="23">
        <f t="shared" si="2"/>
        <v>441</v>
      </c>
    </row>
    <row r="34" spans="1:18" x14ac:dyDescent="0.25">
      <c r="K34" s="22">
        <v>347</v>
      </c>
      <c r="L34" s="22">
        <v>4533.5200000000004</v>
      </c>
      <c r="M34" s="22">
        <v>9.4059405940594004E-2</v>
      </c>
      <c r="N34" s="22" t="s">
        <v>22</v>
      </c>
      <c r="O34" s="22">
        <v>0.49199999999999999</v>
      </c>
      <c r="P34" s="22">
        <f t="shared" si="0"/>
        <v>705</v>
      </c>
      <c r="Q34" s="22">
        <f t="shared" si="1"/>
        <v>4681</v>
      </c>
      <c r="R34" s="22">
        <f t="shared" si="2"/>
        <v>426</v>
      </c>
    </row>
    <row r="35" spans="1:18" ht="20.25" x14ac:dyDescent="0.3">
      <c r="A35" s="38" t="s">
        <v>155</v>
      </c>
      <c r="B35" s="34" t="s">
        <v>10</v>
      </c>
      <c r="C35" s="34" t="s">
        <v>1</v>
      </c>
      <c r="D35" s="34" t="s">
        <v>2</v>
      </c>
      <c r="E35" s="34" t="s">
        <v>9</v>
      </c>
      <c r="F35" s="34" t="s">
        <v>14</v>
      </c>
      <c r="G35" s="34" t="s">
        <v>128</v>
      </c>
      <c r="H35" s="34" t="s">
        <v>129</v>
      </c>
      <c r="I35" s="34" t="s">
        <v>156</v>
      </c>
      <c r="K35" s="22">
        <v>459</v>
      </c>
      <c r="L35" s="22">
        <v>4781.08</v>
      </c>
      <c r="M35" s="22">
        <v>8.59375E-2</v>
      </c>
      <c r="N35" s="22" t="s">
        <v>59</v>
      </c>
      <c r="O35" s="22">
        <v>0.83250000000000002</v>
      </c>
      <c r="P35" s="22">
        <f t="shared" si="0"/>
        <v>551</v>
      </c>
      <c r="Q35" s="22">
        <f t="shared" si="1"/>
        <v>962</v>
      </c>
      <c r="R35" s="22">
        <f t="shared" si="2"/>
        <v>411</v>
      </c>
    </row>
    <row r="36" spans="1:18" x14ac:dyDescent="0.25">
      <c r="A36" s="37"/>
      <c r="B36" s="33" t="s">
        <v>56</v>
      </c>
      <c r="C36" s="33">
        <v>2509</v>
      </c>
      <c r="D36" s="59">
        <v>60938.65</v>
      </c>
      <c r="E36" s="58">
        <v>8.1435472739820505E-2</v>
      </c>
      <c r="F36" s="58">
        <v>0.67949999999999999</v>
      </c>
      <c r="G36" s="33">
        <v>3692</v>
      </c>
      <c r="H36" s="59">
        <v>28743</v>
      </c>
      <c r="I36" s="59">
        <v>4963</v>
      </c>
      <c r="K36" s="22">
        <v>273</v>
      </c>
      <c r="L36" s="22">
        <v>5138.1099999999997</v>
      </c>
      <c r="M36" s="22">
        <v>7.3170731707316999E-2</v>
      </c>
      <c r="N36" s="22" t="s">
        <v>68</v>
      </c>
      <c r="O36" s="22">
        <v>0.66</v>
      </c>
      <c r="P36" s="22">
        <f t="shared" si="0"/>
        <v>414</v>
      </c>
      <c r="Q36" s="22">
        <f t="shared" si="1"/>
        <v>2647</v>
      </c>
      <c r="R36" s="22">
        <f t="shared" si="2"/>
        <v>376</v>
      </c>
    </row>
    <row r="37" spans="1:18" x14ac:dyDescent="0.25">
      <c r="B37" s="33" t="s">
        <v>19</v>
      </c>
      <c r="C37" s="33">
        <v>1459</v>
      </c>
      <c r="D37" s="59">
        <v>27654.45</v>
      </c>
      <c r="E37" s="58">
        <v>8.8377723970944302E-2</v>
      </c>
      <c r="F37" s="58">
        <v>0.69833333333333303</v>
      </c>
      <c r="G37" s="33">
        <v>2089</v>
      </c>
      <c r="H37" s="59">
        <v>11946</v>
      </c>
      <c r="I37" s="59">
        <v>2444</v>
      </c>
      <c r="K37" s="23">
        <v>323</v>
      </c>
      <c r="L37" s="23">
        <v>4194.96</v>
      </c>
      <c r="M37" s="23">
        <v>8.9005235602094196E-2</v>
      </c>
      <c r="N37" s="23" t="s">
        <v>35</v>
      </c>
      <c r="O37" s="23">
        <v>0.9</v>
      </c>
      <c r="P37" s="23">
        <f t="shared" si="0"/>
        <v>359</v>
      </c>
      <c r="Q37" s="23">
        <f t="shared" si="1"/>
        <v>466</v>
      </c>
      <c r="R37" s="23">
        <f t="shared" si="2"/>
        <v>373</v>
      </c>
    </row>
    <row r="38" spans="1:18" x14ac:dyDescent="0.25">
      <c r="B38" s="33" t="s">
        <v>33</v>
      </c>
      <c r="C38" s="33">
        <v>1396</v>
      </c>
      <c r="D38" s="59">
        <v>18073.07</v>
      </c>
      <c r="E38" s="58">
        <v>9.7135740971357395E-2</v>
      </c>
      <c r="F38" s="58">
        <v>0.78249999999999997</v>
      </c>
      <c r="G38" s="33">
        <v>1784</v>
      </c>
      <c r="H38" s="59">
        <v>5024</v>
      </c>
      <c r="I38" s="59">
        <v>1756</v>
      </c>
      <c r="K38" s="25">
        <v>182</v>
      </c>
      <c r="L38" s="25">
        <v>5596.17</v>
      </c>
      <c r="M38" s="25">
        <v>6.4814814814814797E-2</v>
      </c>
      <c r="N38" s="25" t="s">
        <v>25</v>
      </c>
      <c r="O38" s="25">
        <v>0.55333333333333301</v>
      </c>
      <c r="P38" s="25">
        <f t="shared" si="0"/>
        <v>329</v>
      </c>
      <c r="Q38" s="25">
        <f t="shared" si="1"/>
        <v>4517</v>
      </c>
      <c r="R38" s="25">
        <f t="shared" si="2"/>
        <v>363</v>
      </c>
    </row>
    <row r="39" spans="1:18" x14ac:dyDescent="0.25">
      <c r="B39" s="33" t="s">
        <v>16</v>
      </c>
      <c r="C39" s="33">
        <v>568</v>
      </c>
      <c r="D39" s="59">
        <v>21645.67</v>
      </c>
      <c r="E39" s="58">
        <v>7.6687116564417096E-2</v>
      </c>
      <c r="F39" s="58">
        <v>0.78500000000000003</v>
      </c>
      <c r="G39" s="33">
        <v>724</v>
      </c>
      <c r="H39" s="59">
        <v>5928</v>
      </c>
      <c r="I39" s="59">
        <v>1660</v>
      </c>
    </row>
    <row r="40" spans="1:18" x14ac:dyDescent="0.25">
      <c r="B40" s="33" t="s">
        <v>28</v>
      </c>
      <c r="C40" s="33">
        <v>994</v>
      </c>
      <c r="D40" s="59">
        <v>23478.3</v>
      </c>
      <c r="E40" s="58">
        <v>7.0175438596491196E-2</v>
      </c>
      <c r="F40" s="58">
        <v>0.51142857142857101</v>
      </c>
      <c r="G40" s="33">
        <v>1944</v>
      </c>
      <c r="H40" s="59">
        <v>22429</v>
      </c>
      <c r="I40" s="59">
        <v>1648</v>
      </c>
    </row>
    <row r="42" spans="1:18" ht="56.25" x14ac:dyDescent="0.3">
      <c r="A42" s="55" t="s">
        <v>157</v>
      </c>
      <c r="B42" s="56"/>
      <c r="C42" s="56"/>
    </row>
    <row r="43" spans="1:18" ht="30" x14ac:dyDescent="0.25">
      <c r="A43" s="52"/>
      <c r="B43" s="52"/>
      <c r="C43" s="52"/>
      <c r="D43" s="52"/>
      <c r="E43" s="52"/>
      <c r="F43" s="52"/>
      <c r="G43" s="36"/>
      <c r="H43" s="36"/>
      <c r="I43" s="36"/>
      <c r="L43" s="8" t="s">
        <v>160</v>
      </c>
      <c r="M43" s="8" t="s">
        <v>158</v>
      </c>
      <c r="N43" s="8" t="s">
        <v>159</v>
      </c>
    </row>
    <row r="44" spans="1:18" ht="20.25" x14ac:dyDescent="0.3">
      <c r="A44" s="68" t="s">
        <v>107</v>
      </c>
      <c r="B44" s="53"/>
      <c r="C44" s="53"/>
      <c r="D44" s="53"/>
      <c r="E44" s="53"/>
      <c r="M44" s="1">
        <f>$B$4-13</f>
        <v>46187</v>
      </c>
      <c r="N44">
        <f>IFERROR(SUMIFS(DATA_kpi_daily[revenue],DATA_kpi_daily[purchase_day],M44),0)</f>
        <v>4591.32</v>
      </c>
    </row>
    <row r="45" spans="1:18" x14ac:dyDescent="0.25">
      <c r="M45" s="1">
        <f>M44+1</f>
        <v>46188</v>
      </c>
      <c r="N45">
        <f>IFERROR(SUMIFS(DATA_kpi_daily[revenue],DATA_kpi_daily[purchase_day],M45),0)</f>
        <v>708.61</v>
      </c>
    </row>
    <row r="46" spans="1:18" x14ac:dyDescent="0.25">
      <c r="B46" s="42" t="s">
        <v>131</v>
      </c>
      <c r="C46" s="43" t="s">
        <v>132</v>
      </c>
      <c r="D46" s="43" t="s">
        <v>133</v>
      </c>
      <c r="E46" s="44" t="s">
        <v>134</v>
      </c>
      <c r="M46" s="1">
        <f t="shared" ref="M46:M57" si="3">M45+1</f>
        <v>46189</v>
      </c>
      <c r="N46">
        <f>IFERROR(SUMIFS(DATA_kpi_daily[revenue],DATA_kpi_daily[purchase_day],M46),0)</f>
        <v>487.08</v>
      </c>
    </row>
    <row r="47" spans="1:18" ht="45" x14ac:dyDescent="0.25">
      <c r="B47" s="45" t="s">
        <v>135</v>
      </c>
      <c r="C47" s="46" t="str">
        <f>HYPERLINK("#'DASH_ops'!B35","Top 5 impact (voir tableau)")</f>
        <v>Top 5 impact (voir tableau)</v>
      </c>
      <c r="D47" s="47" t="s">
        <v>136</v>
      </c>
      <c r="E47" s="48" t="s">
        <v>137</v>
      </c>
      <c r="M47" s="1">
        <f t="shared" si="3"/>
        <v>46190</v>
      </c>
      <c r="N47">
        <f>IFERROR(SUMIFS(DATA_kpi_daily[revenue],DATA_kpi_daily[purchase_day],M47),0)</f>
        <v>421.84</v>
      </c>
    </row>
    <row r="48" spans="1:18" ht="30" x14ac:dyDescent="0.25">
      <c r="B48" s="45" t="s">
        <v>138</v>
      </c>
      <c r="C48" s="47" t="s">
        <v>139</v>
      </c>
      <c r="D48" s="47" t="s">
        <v>140</v>
      </c>
      <c r="E48" s="48" t="s">
        <v>141</v>
      </c>
      <c r="M48" s="1">
        <f t="shared" si="3"/>
        <v>46191</v>
      </c>
      <c r="N48">
        <f>IFERROR(SUMIFS(DATA_kpi_daily[revenue],DATA_kpi_daily[purchase_day],M48),0)</f>
        <v>1206.56</v>
      </c>
    </row>
    <row r="49" spans="2:14" ht="30" x14ac:dyDescent="0.25">
      <c r="B49" s="45" t="s">
        <v>142</v>
      </c>
      <c r="C49" s="47" t="s">
        <v>143</v>
      </c>
      <c r="D49" s="47" t="s">
        <v>144</v>
      </c>
      <c r="E49" s="48" t="s">
        <v>145</v>
      </c>
      <c r="M49" s="1">
        <f t="shared" si="3"/>
        <v>46192</v>
      </c>
      <c r="N49">
        <f>IFERROR(SUMIFS(DATA_kpi_daily[revenue],DATA_kpi_daily[purchase_day],M49),0)</f>
        <v>361.87</v>
      </c>
    </row>
    <row r="50" spans="2:14" x14ac:dyDescent="0.25">
      <c r="B50" s="45" t="s">
        <v>146</v>
      </c>
      <c r="C50" s="46" t="str">
        <f>HYPERLINK("#'DASH_ops'!N20","Top 5 no-shows (voir tableau)")</f>
        <v>Top 5 no-shows (voir tableau)</v>
      </c>
      <c r="D50" s="47" t="s">
        <v>147</v>
      </c>
      <c r="E50" s="48" t="s">
        <v>148</v>
      </c>
      <c r="M50" s="1">
        <f t="shared" si="3"/>
        <v>46193</v>
      </c>
      <c r="N50">
        <f>IFERROR(SUMIFS(DATA_kpi_daily[revenue],DATA_kpi_daily[purchase_day],M50),0)</f>
        <v>709.31999999999903</v>
      </c>
    </row>
    <row r="51" spans="2:14" ht="30" x14ac:dyDescent="0.25">
      <c r="B51" s="49" t="s">
        <v>149</v>
      </c>
      <c r="C51" s="50" t="s">
        <v>150</v>
      </c>
      <c r="D51" s="50" t="s">
        <v>151</v>
      </c>
      <c r="E51" s="51" t="s">
        <v>152</v>
      </c>
      <c r="M51" s="1">
        <f t="shared" si="3"/>
        <v>46194</v>
      </c>
      <c r="N51">
        <f>IFERROR(SUMIFS(DATA_kpi_daily[revenue],DATA_kpi_daily[purchase_day],M51),0)</f>
        <v>270.64</v>
      </c>
    </row>
    <row r="52" spans="2:14" x14ac:dyDescent="0.25">
      <c r="M52" s="1">
        <f t="shared" si="3"/>
        <v>46195</v>
      </c>
      <c r="N52">
        <f>IFERROR(SUMIFS(DATA_kpi_daily[revenue],DATA_kpi_daily[purchase_day],M52),0)</f>
        <v>591.9</v>
      </c>
    </row>
    <row r="53" spans="2:14" x14ac:dyDescent="0.25">
      <c r="M53" s="1">
        <f t="shared" si="3"/>
        <v>46196</v>
      </c>
      <c r="N53">
        <f>IFERROR(SUMIFS(DATA_kpi_daily[revenue],DATA_kpi_daily[purchase_day],M53),0)</f>
        <v>387.04</v>
      </c>
    </row>
    <row r="54" spans="2:14" x14ac:dyDescent="0.25">
      <c r="M54" s="1">
        <f t="shared" si="3"/>
        <v>46197</v>
      </c>
      <c r="N54">
        <f>IFERROR(SUMIFS(DATA_kpi_daily[revenue],DATA_kpi_daily[purchase_day],M54),0)</f>
        <v>566.87</v>
      </c>
    </row>
    <row r="55" spans="2:14" x14ac:dyDescent="0.25">
      <c r="M55" s="1">
        <f t="shared" si="3"/>
        <v>46198</v>
      </c>
      <c r="N55">
        <f>IFERROR(SUMIFS(DATA_kpi_daily[revenue],DATA_kpi_daily[purchase_day],M55),0)</f>
        <v>785.06</v>
      </c>
    </row>
    <row r="56" spans="2:14" x14ac:dyDescent="0.25">
      <c r="M56" s="1">
        <f t="shared" si="3"/>
        <v>46199</v>
      </c>
      <c r="N56">
        <f>IFERROR(SUMIFS(DATA_kpi_daily[revenue],DATA_kpi_daily[purchase_day],M56),0)</f>
        <v>217.6</v>
      </c>
    </row>
    <row r="57" spans="2:14" x14ac:dyDescent="0.25">
      <c r="M57" s="1">
        <f t="shared" si="3"/>
        <v>46200</v>
      </c>
      <c r="N57">
        <f>IFERROR(SUMIFS(DATA_kpi_daily[revenue],DATA_kpi_daily[purchase_day],M57),0)</f>
        <v>1223.3499999999999</v>
      </c>
    </row>
    <row r="60" spans="2:14" x14ac:dyDescent="0.25">
      <c r="G60" s="18"/>
    </row>
    <row r="61" spans="2:14" x14ac:dyDescent="0.25">
      <c r="G61" s="18"/>
    </row>
    <row r="62" spans="2:14" x14ac:dyDescent="0.25">
      <c r="G62" s="18"/>
    </row>
    <row r="63" spans="2:14" x14ac:dyDescent="0.25">
      <c r="G63" s="18"/>
    </row>
    <row r="64" spans="2:14" x14ac:dyDescent="0.25">
      <c r="G64" s="18"/>
    </row>
    <row r="65" spans="7:7" x14ac:dyDescent="0.25">
      <c r="G65" s="18"/>
    </row>
    <row r="69" spans="7:7" ht="30" x14ac:dyDescent="0.25">
      <c r="G69" s="16"/>
    </row>
    <row r="74" spans="7:7" x14ac:dyDescent="0.25">
      <c r="G74" s="18"/>
    </row>
    <row r="75" spans="7:7" x14ac:dyDescent="0.25">
      <c r="G75" s="19"/>
    </row>
    <row r="76" spans="7:7" x14ac:dyDescent="0.25">
      <c r="G76" s="18"/>
    </row>
    <row r="77" spans="7:7" x14ac:dyDescent="0.25">
      <c r="G77" s="19"/>
    </row>
    <row r="78" spans="7:7" x14ac:dyDescent="0.25">
      <c r="G78" s="18"/>
    </row>
    <row r="79" spans="7:7" x14ac:dyDescent="0.25">
      <c r="G79" s="19"/>
    </row>
    <row r="85" spans="7:7" ht="30" x14ac:dyDescent="0.25">
      <c r="G85" s="16"/>
    </row>
    <row r="87" spans="7:7" ht="17.25" x14ac:dyDescent="0.25">
      <c r="G87" s="17"/>
    </row>
    <row r="91" spans="7:7" x14ac:dyDescent="0.25">
      <c r="G91" s="18"/>
    </row>
    <row r="92" spans="7:7" x14ac:dyDescent="0.25">
      <c r="G92" s="18"/>
    </row>
    <row r="93" spans="7:7" x14ac:dyDescent="0.25">
      <c r="G93" s="18"/>
    </row>
    <row r="94" spans="7:7" x14ac:dyDescent="0.25">
      <c r="G94" s="19"/>
    </row>
    <row r="96" spans="7:7" ht="17.25" x14ac:dyDescent="0.25">
      <c r="G96" s="17"/>
    </row>
  </sheetData>
  <sortState xmlns:xlrd2="http://schemas.microsoft.com/office/spreadsheetml/2017/richdata2" columnSort="1" ref="I20:K40">
    <sortCondition descending="1" ref="J20"/>
  </sortState>
  <phoneticPr fontId="15" type="noConversion"/>
  <pageMargins left="0.7" right="0.7" top="0.75" bottom="0.75" header="0.3" footer="0.3"/>
  <pageSetup paperSize="9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D0E31-2EC8-48DE-A238-775FD3D87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Calc-dash_ops</vt:lpstr>
      <vt:lpstr>DATA_kpi_daily</vt:lpstr>
      <vt:lpstr>KPI_event</vt:lpstr>
      <vt:lpstr>DATA_kpi_event</vt:lpstr>
      <vt:lpstr>DATA_dim_events</vt:lpstr>
      <vt:lpstr>DATA_event_geo</vt:lpstr>
      <vt:lpstr>DASH_direction</vt:lpstr>
      <vt:lpstr>DASH_direction_tableaux</vt:lpstr>
      <vt:lpstr>DASH_ops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Gay</dc:creator>
  <cp:lastModifiedBy>Alice Gay</cp:lastModifiedBy>
  <cp:lastPrinted>2026-02-10T16:15:24Z</cp:lastPrinted>
  <dcterms:created xsi:type="dcterms:W3CDTF">2026-01-08T10:53:06Z</dcterms:created>
  <dcterms:modified xsi:type="dcterms:W3CDTF">2026-02-13T11:24:31Z</dcterms:modified>
</cp:coreProperties>
</file>